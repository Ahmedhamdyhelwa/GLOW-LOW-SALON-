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6.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7.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https://d.docs.live.net/24a8d35dd0d473cc/Desktop/"/>
    </mc:Choice>
  </mc:AlternateContent>
  <xr:revisionPtr revIDLastSave="0" documentId="8_{D75E6D68-F706-4915-BB16-079B213F6760}" xr6:coauthVersionLast="47" xr6:coauthVersionMax="47" xr10:uidLastSave="{00000000-0000-0000-0000-000000000000}"/>
  <bookViews>
    <workbookView xWindow="-108" yWindow="-108" windowWidth="23256" windowHeight="12456" activeTab="1" xr2:uid="{66256D5F-BADB-4D89-AB77-FF544A1DB0F6}"/>
  </bookViews>
  <sheets>
    <sheet name="Sheet 1" sheetId="2" r:id="rId1"/>
    <sheet name="DASH1" sheetId="4" r:id="rId2"/>
  </sheets>
  <definedNames>
    <definedName name="_xlcn.WorksheetConnection_das.xlsxSheet11" hidden="1">Sheet1[]</definedName>
    <definedName name="ExternalData_1" localSheetId="0" hidden="1">'Sheet 1'!$A$1:$K$2001</definedName>
    <definedName name="Slicer_Ad_Spend">#N/A</definedName>
    <definedName name="Slicer_Category">#N/A</definedName>
    <definedName name="Slicer_Profit">#N/A</definedName>
    <definedName name="Slicer_Season">#N/A</definedName>
  </definedNames>
  <calcPr calcId="191029"/>
  <pivotCaches>
    <pivotCache cacheId="326" r:id="rId3"/>
    <pivotCache cacheId="329" r:id="rId4"/>
    <pivotCache cacheId="332" r:id="rId5"/>
    <pivotCache cacheId="335" r:id="rId6"/>
    <pivotCache cacheId="338" r:id="rId7"/>
    <pivotCache cacheId="341" r:id="rId8"/>
  </pivotCaches>
  <extLst>
    <ext xmlns:x14="http://schemas.microsoft.com/office/spreadsheetml/2009/9/main" uri="{876F7934-8845-4945-9796-88D515C7AA90}">
      <x14:pivotCaches>
        <pivotCache cacheId="134" r:id="rId9"/>
      </x14:pivotCaches>
    </ex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heet1  3_a97043ce-e359-429b-a92f-72c4e64b649e" name="Sheet1  3" connection="Query - Sheet1 (3)"/>
          <x15:modelTable id="Sheet1" name="Sheet1" connection="WorksheetConnection_das.xlsx!Sheet1"/>
        </x15:modelTables>
        <x15:extLst>
          <ext xmlns:x16="http://schemas.microsoft.com/office/spreadsheetml/2014/11/main" uri="{9835A34E-60A6-4A7C-AAB8-D5F71C897F49}">
            <x16:modelTimeGroupings>
              <x16:modelTimeGrouping tableName="Sheet1  3" columnName="Date" columnId="Date">
                <x16:calculatedTimeColumn columnName="Date (Month Index)" columnId="Date (Month Index)" contentType="monthsindex" isSelected="1"/>
                <x16:calculatedTimeColumn columnName="Date (Month)" columnId="Date (Month)" contentType="months" isSelected="1"/>
              </x16:modelTimeGrouping>
              <x16:modelTimeGrouping tableName="Sheet1"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13" i="2" l="1"/>
  <c r="Q4" i="2"/>
  <c r="O18" i="2"/>
  <c r="O8" i="2"/>
  <c r="O4" i="2"/>
  <c r="O13" i="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E531385-CE54-48E1-AA2D-E4AFE6B91EA8}"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 id="2" xr16:uid="{18E2EEFA-E379-4BCA-ACA1-ABB7A1318269}" keepAlive="1" name="Query - Sheet1 (2)" description="Connection to the 'Sheet1 (2)' query in the workbook." type="5" refreshedVersion="8" background="1" saveData="1">
    <dbPr connection="Provider=Microsoft.Mashup.OleDb.1;Data Source=$Workbook$;Location=&quot;Sheet1 (2)&quot;;Extended Properties=&quot;&quot;" command="SELECT * FROM [Sheet1 (2)]"/>
  </connection>
  <connection id="3" xr16:uid="{E7934819-27AB-43AC-AB2E-5B1112BD9BD5}" name="Query - Sheet1 (3)" description="Connection to the 'Sheet1 (3)' query in the workbook." type="100" refreshedVersion="8" minRefreshableVersion="5">
    <extLst>
      <ext xmlns:x15="http://schemas.microsoft.com/office/spreadsheetml/2010/11/main" uri="{DE250136-89BD-433C-8126-D09CA5730AF9}">
        <x15:connection id="a297594d-3b1f-46f7-9997-cad1f0c9ccbf"/>
      </ext>
    </extLst>
  </connection>
  <connection id="4" xr16:uid="{1C2FFC91-7C41-40EB-B683-EF0CEF1240D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E09EB8D8-C4AA-4220-B829-076B08EB174E}" name="WorksheetConnection_das.xlsx!Sheet1" type="102" refreshedVersion="8" minRefreshableVersion="5">
    <extLst>
      <ext xmlns:x15="http://schemas.microsoft.com/office/spreadsheetml/2010/11/main" uri="{DE250136-89BD-433C-8126-D09CA5730AF9}">
        <x15:connection id="Sheet1">
          <x15:rangePr sourceName="_xlcn.WorksheetConnection_das.xlsxSheet11"/>
        </x15:connection>
      </ext>
    </extLst>
  </connection>
</connections>
</file>

<file path=xl/sharedStrings.xml><?xml version="1.0" encoding="utf-8"?>
<sst xmlns="http://schemas.openxmlformats.org/spreadsheetml/2006/main" count="10081" uniqueCount="58">
  <si>
    <t>Date</t>
  </si>
  <si>
    <t>Season</t>
  </si>
  <si>
    <t>Time of Day</t>
  </si>
  <si>
    <t>Channel</t>
  </si>
  <si>
    <t>Customer Type</t>
  </si>
  <si>
    <t>Category</t>
  </si>
  <si>
    <t>Ad Spend</t>
  </si>
  <si>
    <t>Conversions</t>
  </si>
  <si>
    <t>Revenue</t>
  </si>
  <si>
    <t>Returns</t>
  </si>
  <si>
    <t>Profit</t>
  </si>
  <si>
    <t>Spring</t>
  </si>
  <si>
    <t>Morning</t>
  </si>
  <si>
    <t>Facebook</t>
  </si>
  <si>
    <t>New</t>
  </si>
  <si>
    <t>Color</t>
  </si>
  <si>
    <t>Styling</t>
  </si>
  <si>
    <t>Summer</t>
  </si>
  <si>
    <t>Evening</t>
  </si>
  <si>
    <t>Flyers</t>
  </si>
  <si>
    <t>Returning</t>
  </si>
  <si>
    <t>Winter</t>
  </si>
  <si>
    <t>Facials</t>
  </si>
  <si>
    <t>Fall</t>
  </si>
  <si>
    <t>Afternoon</t>
  </si>
  <si>
    <t>Email</t>
  </si>
  <si>
    <t>Haircut</t>
  </si>
  <si>
    <t>Google Ads</t>
  </si>
  <si>
    <t>Instagram</t>
  </si>
  <si>
    <t>Night</t>
  </si>
  <si>
    <t>TOTAL REVENUE</t>
  </si>
  <si>
    <t>Total ad spend</t>
  </si>
  <si>
    <t xml:space="preserve">total profit </t>
  </si>
  <si>
    <t xml:space="preserve">ROI </t>
  </si>
  <si>
    <t xml:space="preserve">total convertion </t>
  </si>
  <si>
    <t>conversion rate</t>
  </si>
  <si>
    <t>Sum</t>
  </si>
  <si>
    <t>Average</t>
  </si>
  <si>
    <t>Running Total</t>
  </si>
  <si>
    <t>Count</t>
  </si>
  <si>
    <t>Row Labels</t>
  </si>
  <si>
    <t>Grand Total</t>
  </si>
  <si>
    <t>Jan</t>
  </si>
  <si>
    <t>Feb</t>
  </si>
  <si>
    <t>Mar</t>
  </si>
  <si>
    <t>Apr</t>
  </si>
  <si>
    <t>May</t>
  </si>
  <si>
    <t>Jun</t>
  </si>
  <si>
    <t>Jul</t>
  </si>
  <si>
    <t>Aug</t>
  </si>
  <si>
    <t>Sep</t>
  </si>
  <si>
    <t>Oct</t>
  </si>
  <si>
    <t>Nov</t>
  </si>
  <si>
    <t>Dec</t>
  </si>
  <si>
    <t>Sum of Profit</t>
  </si>
  <si>
    <t>Sum of Ad Spend</t>
  </si>
  <si>
    <t>Sum of Returns</t>
  </si>
  <si>
    <t>Sum of Conversions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</si>
</sst>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theme="4" tint="0.59999389629810485"/>
        <bgColor indexed="64"/>
      </patternFill>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2" borderId="0" xfId="0" applyFill="1"/>
  </cellXfs>
  <cellStyles count="1">
    <cellStyle name="Normal" xfId="0" builtinId="0"/>
  </cellStyles>
  <dxfs count="6">
    <dxf>
      <numFmt numFmtId="0" formatCode="General"/>
    </dxf>
    <dxf>
      <numFmt numFmtId="0" formatCode="General"/>
    </dxf>
    <dxf>
      <numFmt numFmtId="0" formatCode="General"/>
    </dxf>
    <dxf>
      <numFmt numFmtId="0" formatCode="General"/>
    </dxf>
    <dxf>
      <numFmt numFmtId="0" formatCode="Genera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6.xml"/><Relationship Id="rId13" Type="http://schemas.microsoft.com/office/2007/relationships/slicerCache" Target="slicerCaches/slicerCache4.xml"/><Relationship Id="rId18" Type="http://schemas.openxmlformats.org/officeDocument/2006/relationships/powerPivotData" Target="model/item.data"/><Relationship Id="rId3" Type="http://schemas.openxmlformats.org/officeDocument/2006/relationships/pivotCacheDefinition" Target="pivotCache/pivotCacheDefinition1.xml"/><Relationship Id="rId21" Type="http://schemas.openxmlformats.org/officeDocument/2006/relationships/customXml" Target="../customXml/item2.xml"/><Relationship Id="rId7" Type="http://schemas.openxmlformats.org/officeDocument/2006/relationships/pivotCacheDefinition" Target="pivotCache/pivotCacheDefinition5.xml"/><Relationship Id="rId12" Type="http://schemas.microsoft.com/office/2007/relationships/slicerCache" Target="slicerCaches/slicerCache3.xml"/><Relationship Id="rId17" Type="http://schemas.openxmlformats.org/officeDocument/2006/relationships/sharedStrings" Target="sharedStrings.xml"/><Relationship Id="rId25" Type="http://schemas.openxmlformats.org/officeDocument/2006/relationships/customXml" Target="../customXml/item6.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microsoft.com/office/2007/relationships/slicerCache" Target="slicerCaches/slicerCache2.xml"/><Relationship Id="rId24" Type="http://schemas.openxmlformats.org/officeDocument/2006/relationships/customXml" Target="../customXml/item5.xml"/><Relationship Id="rId5" Type="http://schemas.openxmlformats.org/officeDocument/2006/relationships/pivotCacheDefinition" Target="pivotCache/pivotCacheDefinition3.xml"/><Relationship Id="rId15" Type="http://schemas.openxmlformats.org/officeDocument/2006/relationships/connections" Target="connections.xml"/><Relationship Id="rId23" Type="http://schemas.openxmlformats.org/officeDocument/2006/relationships/customXml" Target="../customXml/item4.xml"/><Relationship Id="rId10" Type="http://schemas.microsoft.com/office/2007/relationships/slicerCache" Target="slicerCaches/slicerCache1.xml"/><Relationship Id="rId19" Type="http://schemas.openxmlformats.org/officeDocument/2006/relationships/calcChain" Target="calcChain.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theme" Target="theme/theme1.xml"/><Relationship Id="rId22"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[GLOW ^0 LOW SALON.xlsx]Sheet 1!PivotTable1</c:name>
    <c:fmtId val="5"/>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Britannic Bold" panose="020B0903060703020204" pitchFamily="34" charset="0"/>
                <a:ea typeface="+mn-ea"/>
                <a:cs typeface="+mn-cs"/>
              </a:defRPr>
            </a:pPr>
            <a:r>
              <a:rPr lang="en-US" b="1">
                <a:solidFill>
                  <a:sysClr val="windowText" lastClr="000000"/>
                </a:solidFill>
                <a:latin typeface="Britannic Bold" panose="020B0903060703020204" pitchFamily="34" charset="0"/>
              </a:rPr>
              <a:t> Profit by date</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Britannic Bold" panose="020B0903060703020204" pitchFamily="34" charset="0"/>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 1'!$V$7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1'!$U$8:$U$20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 1'!$V$8:$V$20</c:f>
              <c:numCache>
                <c:formatCode>General</c:formatCode>
                <c:ptCount val="12"/>
                <c:pt idx="0">
                  <c:v>71030.929999999993</c:v>
                </c:pt>
                <c:pt idx="1">
                  <c:v>58265.83</c:v>
                </c:pt>
                <c:pt idx="2">
                  <c:v>82686.259999999995</c:v>
                </c:pt>
                <c:pt idx="3">
                  <c:v>65725.929999999993</c:v>
                </c:pt>
                <c:pt idx="4">
                  <c:v>69656.14</c:v>
                </c:pt>
                <c:pt idx="5">
                  <c:v>64407.97</c:v>
                </c:pt>
                <c:pt idx="6">
                  <c:v>73631.350000000006</c:v>
                </c:pt>
                <c:pt idx="7">
                  <c:v>83972.53</c:v>
                </c:pt>
                <c:pt idx="8">
                  <c:v>70673.509999999995</c:v>
                </c:pt>
                <c:pt idx="9">
                  <c:v>76980.490000000005</c:v>
                </c:pt>
                <c:pt idx="10">
                  <c:v>63894.54</c:v>
                </c:pt>
                <c:pt idx="11">
                  <c:v>83124.88</c:v>
                </c:pt>
              </c:numCache>
            </c:numRef>
          </c:val>
          <c:extLst>
            <c:ext xmlns:c16="http://schemas.microsoft.com/office/drawing/2014/chart" uri="{C3380CC4-5D6E-409C-BE32-E72D297353CC}">
              <c16:uniqueId val="{00000000-21A1-4323-9412-FC57A4A270FC}"/>
            </c:ext>
          </c:extLst>
        </c:ser>
        <c:dLbls>
          <c:dLblPos val="outEnd"/>
          <c:showLegendKey val="0"/>
          <c:showVal val="1"/>
          <c:showCatName val="0"/>
          <c:showSerName val="0"/>
          <c:showPercent val="0"/>
          <c:showBubbleSize val="0"/>
        </c:dLbls>
        <c:gapWidth val="219"/>
        <c:overlap val="-27"/>
        <c:axId val="1256957279"/>
        <c:axId val="1256956799"/>
      </c:barChart>
      <c:catAx>
        <c:axId val="1256957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6956799"/>
        <c:crosses val="autoZero"/>
        <c:auto val="1"/>
        <c:lblAlgn val="ctr"/>
        <c:lblOffset val="100"/>
        <c:noMultiLvlLbl val="0"/>
      </c:catAx>
      <c:valAx>
        <c:axId val="12569567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6957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REVENUE</a:t>
            </a:r>
            <a:r>
              <a:rPr lang="en-US" b="1" baseline="0">
                <a:solidFill>
                  <a:sysClr val="windowText" lastClr="000000"/>
                </a:solidFill>
              </a:rPr>
              <a:t> BY SEASON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24759405074366"/>
          <c:y val="0.26328484981044037"/>
          <c:w val="0.85219685039370074"/>
          <c:h val="0.58404017206182557"/>
        </c:manualLayout>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Fall</c:v>
              </c:pt>
              <c:pt idx="1">
                <c:v>Spring</c:v>
              </c:pt>
              <c:pt idx="2">
                <c:v>Summer</c:v>
              </c:pt>
              <c:pt idx="3">
                <c:v>Winter</c:v>
              </c:pt>
            </c:strLit>
          </c:cat>
          <c:val>
            <c:numLit>
              <c:formatCode>General</c:formatCode>
              <c:ptCount val="4"/>
              <c:pt idx="0">
                <c:v>281149.83999999997</c:v>
              </c:pt>
              <c:pt idx="1">
                <c:v>289169.03999999998</c:v>
              </c:pt>
              <c:pt idx="2">
                <c:v>295586.82</c:v>
              </c:pt>
              <c:pt idx="3">
                <c:v>282755.24000000028</c:v>
              </c:pt>
            </c:numLit>
          </c:val>
          <c:extLst>
            <c:ext xmlns:c16="http://schemas.microsoft.com/office/drawing/2014/chart" uri="{C3380CC4-5D6E-409C-BE32-E72D297353CC}">
              <c16:uniqueId val="{00000000-BA17-415F-A0C4-85CF51F1DEF4}"/>
            </c:ext>
          </c:extLst>
        </c:ser>
        <c:dLbls>
          <c:dLblPos val="outEnd"/>
          <c:showLegendKey val="0"/>
          <c:showVal val="1"/>
          <c:showCatName val="0"/>
          <c:showSerName val="0"/>
          <c:showPercent val="0"/>
          <c:showBubbleSize val="0"/>
        </c:dLbls>
        <c:gapWidth val="219"/>
        <c:overlap val="-27"/>
        <c:axId val="776957775"/>
        <c:axId val="767810255"/>
      </c:barChart>
      <c:catAx>
        <c:axId val="776957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7810255"/>
        <c:crosses val="autoZero"/>
        <c:auto val="1"/>
        <c:lblAlgn val="ctr"/>
        <c:lblOffset val="100"/>
        <c:noMultiLvlLbl val="0"/>
      </c:catAx>
      <c:valAx>
        <c:axId val="7678102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6957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[GLOW ^0 LOW SALON.xlsx]Sheet 1!PivotTable6</c:name>
    <c:fmtId val="5"/>
  </c:pivotSource>
  <c:chart>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418575112560967E-2"/>
          <c:y val="8.6384678553528452E-2"/>
          <c:w val="0.75571288242150214"/>
          <c:h val="0.79299543789894078"/>
        </c:manualLayout>
      </c:layout>
      <c:barChart>
        <c:barDir val="col"/>
        <c:grouping val="clustered"/>
        <c:varyColors val="0"/>
        <c:ser>
          <c:idx val="0"/>
          <c:order val="0"/>
          <c:tx>
            <c:strRef>
              <c:f>'Sheet 1'!$N$23</c:f>
              <c:strCache>
                <c:ptCount val="1"/>
                <c:pt idx="0">
                  <c:v>Sum of Ad Spend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1'!$M$24:$M$28</c:f>
              <c:strCache>
                <c:ptCount val="4"/>
                <c:pt idx="0">
                  <c:v>Fall</c:v>
                </c:pt>
                <c:pt idx="1">
                  <c:v>Spring</c:v>
                </c:pt>
                <c:pt idx="2">
                  <c:v>Summer</c:v>
                </c:pt>
                <c:pt idx="3">
                  <c:v>Winter</c:v>
                </c:pt>
              </c:strCache>
            </c:strRef>
          </c:cat>
          <c:val>
            <c:numRef>
              <c:f>'Sheet 1'!$N$24:$N$28</c:f>
              <c:numCache>
                <c:formatCode>General</c:formatCode>
                <c:ptCount val="4"/>
                <c:pt idx="0">
                  <c:v>49612.6</c:v>
                </c:pt>
                <c:pt idx="1">
                  <c:v>51983.51</c:v>
                </c:pt>
                <c:pt idx="2">
                  <c:v>52574.239999999998</c:v>
                </c:pt>
                <c:pt idx="3">
                  <c:v>51668.73</c:v>
                </c:pt>
              </c:numCache>
            </c:numRef>
          </c:val>
          <c:extLst>
            <c:ext xmlns:c16="http://schemas.microsoft.com/office/drawing/2014/chart" uri="{C3380CC4-5D6E-409C-BE32-E72D297353CC}">
              <c16:uniqueId val="{00000000-C16B-4408-825C-5D00E602C9D5}"/>
            </c:ext>
          </c:extLst>
        </c:ser>
        <c:ser>
          <c:idx val="1"/>
          <c:order val="1"/>
          <c:tx>
            <c:strRef>
              <c:f>'Sheet 1'!$O$23</c:f>
              <c:strCache>
                <c:ptCount val="1"/>
                <c:pt idx="0">
                  <c:v>Sum of Profit</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1'!$M$24:$M$28</c:f>
              <c:strCache>
                <c:ptCount val="4"/>
                <c:pt idx="0">
                  <c:v>Fall</c:v>
                </c:pt>
                <c:pt idx="1">
                  <c:v>Spring</c:v>
                </c:pt>
                <c:pt idx="2">
                  <c:v>Summer</c:v>
                </c:pt>
                <c:pt idx="3">
                  <c:v>Winter</c:v>
                </c:pt>
              </c:strCache>
            </c:strRef>
          </c:cat>
          <c:val>
            <c:numRef>
              <c:f>'Sheet 1'!$O$24:$O$28</c:f>
              <c:numCache>
                <c:formatCode>General</c:formatCode>
                <c:ptCount val="4"/>
                <c:pt idx="0">
                  <c:v>211548.54</c:v>
                </c:pt>
                <c:pt idx="1">
                  <c:v>218068.33</c:v>
                </c:pt>
                <c:pt idx="2">
                  <c:v>222011.85</c:v>
                </c:pt>
                <c:pt idx="3">
                  <c:v>212421.64</c:v>
                </c:pt>
              </c:numCache>
            </c:numRef>
          </c:val>
          <c:extLst>
            <c:ext xmlns:c16="http://schemas.microsoft.com/office/drawing/2014/chart" uri="{C3380CC4-5D6E-409C-BE32-E72D297353CC}">
              <c16:uniqueId val="{00000001-C16B-4408-825C-5D00E602C9D5}"/>
            </c:ext>
          </c:extLst>
        </c:ser>
        <c:dLbls>
          <c:dLblPos val="outEnd"/>
          <c:showLegendKey val="0"/>
          <c:showVal val="1"/>
          <c:showCatName val="0"/>
          <c:showSerName val="0"/>
          <c:showPercent val="0"/>
          <c:showBubbleSize val="0"/>
        </c:dLbls>
        <c:gapWidth val="219"/>
        <c:overlap val="-27"/>
        <c:axId val="1484188927"/>
        <c:axId val="1484189887"/>
      </c:barChart>
      <c:catAx>
        <c:axId val="1484188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4189887"/>
        <c:crosses val="autoZero"/>
        <c:auto val="1"/>
        <c:lblAlgn val="ctr"/>
        <c:lblOffset val="100"/>
        <c:noMultiLvlLbl val="0"/>
      </c:catAx>
      <c:valAx>
        <c:axId val="14841898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4188927"/>
        <c:crosses val="autoZero"/>
        <c:crossBetween val="between"/>
      </c:valAx>
      <c:spPr>
        <a:noFill/>
        <a:ln>
          <a:noFill/>
        </a:ln>
        <a:effectLst/>
      </c:spPr>
    </c:plotArea>
    <c:legend>
      <c:legendPos val="r"/>
      <c:layout>
        <c:manualLayout>
          <c:xMode val="edge"/>
          <c:yMode val="edge"/>
          <c:x val="0.79619331991723008"/>
          <c:y val="0.42470081261075615"/>
          <c:w val="0.1919092434807278"/>
          <c:h val="0.2504155158672166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[GLOW ^0 LOW SALON.xlsx]Sheet 1!PivotTable3</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ADS by social media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solidFill>
            <a:schemeClr val="accent2"/>
          </a:soli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solidFill>
            <a:srgbClr val="002060"/>
          </a:soli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 1'!$Y$22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86D-49F3-9895-376EE01F79A4}"/>
              </c:ext>
            </c:extLst>
          </c:dPt>
          <c:dPt>
            <c:idx val="1"/>
            <c:bubble3D val="0"/>
            <c:spPr>
              <a:solidFill>
                <a:schemeClr val="accent2"/>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86D-49F3-9895-376EE01F79A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86D-49F3-9895-376EE01F79A4}"/>
              </c:ext>
            </c:extLst>
          </c:dPt>
          <c:dPt>
            <c:idx val="3"/>
            <c:bubble3D val="0"/>
            <c:spPr>
              <a:solidFill>
                <a:srgbClr val="00206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F86D-49F3-9895-376EE01F79A4}"/>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F86D-49F3-9895-376EE01F79A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 1'!$X$23:$X$28</c:f>
              <c:strCache>
                <c:ptCount val="5"/>
                <c:pt idx="0">
                  <c:v>Email</c:v>
                </c:pt>
                <c:pt idx="1">
                  <c:v>Facebook</c:v>
                </c:pt>
                <c:pt idx="2">
                  <c:v>Flyers</c:v>
                </c:pt>
                <c:pt idx="3">
                  <c:v>Google Ads</c:v>
                </c:pt>
                <c:pt idx="4">
                  <c:v>Instagram</c:v>
                </c:pt>
              </c:strCache>
            </c:strRef>
          </c:cat>
          <c:val>
            <c:numRef>
              <c:f>'Sheet 1'!$Y$23:$Y$28</c:f>
              <c:numCache>
                <c:formatCode>General</c:formatCode>
                <c:ptCount val="5"/>
                <c:pt idx="0">
                  <c:v>39061.64</c:v>
                </c:pt>
                <c:pt idx="1">
                  <c:v>41166.730000000003</c:v>
                </c:pt>
                <c:pt idx="2">
                  <c:v>41246.46</c:v>
                </c:pt>
                <c:pt idx="3">
                  <c:v>43823.54</c:v>
                </c:pt>
                <c:pt idx="4">
                  <c:v>40540.71</c:v>
                </c:pt>
              </c:numCache>
            </c:numRef>
          </c:val>
          <c:extLst>
            <c:ext xmlns:c16="http://schemas.microsoft.com/office/drawing/2014/chart" uri="{C3380CC4-5D6E-409C-BE32-E72D297353CC}">
              <c16:uniqueId val="{0000000A-F86D-49F3-9895-376EE01F79A4}"/>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5576488573858369"/>
          <c:y val="0.15296329685406737"/>
          <c:w val="0.17758804853109442"/>
          <c:h val="0.8304088263780889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[GLOW ^0 LOW SALON.xlsx]Sheet 1!PivotTable4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latin typeface="Bodoni MT Black" panose="02070A03080606020203" pitchFamily="18" charset="0"/>
              </a:rPr>
              <a:t>RETURENS</a:t>
            </a:r>
            <a:r>
              <a:rPr lang="en-US" sz="1600" b="1" baseline="0">
                <a:latin typeface="Bodoni MT Black" panose="02070A03080606020203" pitchFamily="18" charset="0"/>
              </a:rPr>
              <a:t> BY CATEGORY </a:t>
            </a:r>
            <a:endParaRPr lang="en-US" sz="1600" b="1">
              <a:latin typeface="Bodoni MT Black" panose="02070A03080606020203"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1'!$R$23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1'!$Q$24:$Q$28</c:f>
              <c:strCache>
                <c:ptCount val="4"/>
                <c:pt idx="0">
                  <c:v>Color</c:v>
                </c:pt>
                <c:pt idx="1">
                  <c:v>Facials</c:v>
                </c:pt>
                <c:pt idx="2">
                  <c:v>Haircut</c:v>
                </c:pt>
                <c:pt idx="3">
                  <c:v>Styling</c:v>
                </c:pt>
              </c:strCache>
            </c:strRef>
          </c:cat>
          <c:val>
            <c:numRef>
              <c:f>'Sheet 1'!$R$24:$R$28</c:f>
              <c:numCache>
                <c:formatCode>General</c:formatCode>
                <c:ptCount val="4"/>
                <c:pt idx="0">
                  <c:v>724</c:v>
                </c:pt>
                <c:pt idx="1">
                  <c:v>705</c:v>
                </c:pt>
                <c:pt idx="2">
                  <c:v>678</c:v>
                </c:pt>
                <c:pt idx="3">
                  <c:v>727</c:v>
                </c:pt>
              </c:numCache>
            </c:numRef>
          </c:val>
          <c:extLst>
            <c:ext xmlns:c16="http://schemas.microsoft.com/office/drawing/2014/chart" uri="{C3380CC4-5D6E-409C-BE32-E72D297353CC}">
              <c16:uniqueId val="{00000000-111F-4673-AFCE-023314309CC6}"/>
            </c:ext>
          </c:extLst>
        </c:ser>
        <c:dLbls>
          <c:dLblPos val="outEnd"/>
          <c:showLegendKey val="0"/>
          <c:showVal val="1"/>
          <c:showCatName val="0"/>
          <c:showSerName val="0"/>
          <c:showPercent val="0"/>
          <c:showBubbleSize val="0"/>
        </c:dLbls>
        <c:gapWidth val="182"/>
        <c:axId val="887690895"/>
        <c:axId val="887689935"/>
      </c:barChart>
      <c:catAx>
        <c:axId val="8876908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7689935"/>
        <c:crosses val="autoZero"/>
        <c:auto val="1"/>
        <c:lblAlgn val="ctr"/>
        <c:lblOffset val="100"/>
        <c:noMultiLvlLbl val="0"/>
      </c:catAx>
      <c:valAx>
        <c:axId val="8876899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7690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13.png"/><Relationship Id="rId3" Type="http://schemas.openxmlformats.org/officeDocument/2006/relationships/image" Target="../media/image5.png"/><Relationship Id="rId7" Type="http://schemas.openxmlformats.org/officeDocument/2006/relationships/chart" Target="../charts/chart5.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image" Target="../media/image6.svg"/><Relationship Id="rId9" Type="http://schemas.openxmlformats.org/officeDocument/2006/relationships/image" Target="../media/image14.svg"/></Relationships>
</file>

<file path=xl/drawings/_rels/drawing3.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4.svg"/><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2" Type="http://schemas.openxmlformats.org/officeDocument/2006/relationships/image" Target="../media/image8.svg"/><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2" Type="http://schemas.openxmlformats.org/officeDocument/2006/relationships/image" Target="../media/image10.svg"/><Relationship Id="rId1" Type="http://schemas.openxmlformats.org/officeDocument/2006/relationships/image" Target="../media/image9.png"/></Relationships>
</file>

<file path=xl/drawings/_rels/drawing7.xml.rels><?xml version="1.0" encoding="UTF-8" standalone="yes"?>
<Relationships xmlns="http://schemas.openxmlformats.org/package/2006/relationships"><Relationship Id="rId2" Type="http://schemas.openxmlformats.org/officeDocument/2006/relationships/image" Target="../media/image12.svg"/><Relationship Id="rId1"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xdr:from>
      <xdr:col>15</xdr:col>
      <xdr:colOff>534050</xdr:colOff>
      <xdr:row>16</xdr:row>
      <xdr:rowOff>71640</xdr:rowOff>
    </xdr:from>
    <xdr:to>
      <xdr:col>16</xdr:col>
      <xdr:colOff>1172306</xdr:colOff>
      <xdr:row>17</xdr:row>
      <xdr:rowOff>123742</xdr:rowOff>
    </xdr:to>
    <xdr:sp macro="" textlink="">
      <xdr:nvSpPr>
        <xdr:cNvPr id="9" name="TextBox 8">
          <a:extLst>
            <a:ext uri="{FF2B5EF4-FFF2-40B4-BE49-F238E27FC236}">
              <a16:creationId xmlns:a16="http://schemas.microsoft.com/office/drawing/2014/main" id="{F5E8E0A1-B54A-1C63-8F7B-5E3237C49C08}"/>
            </a:ext>
          </a:extLst>
        </xdr:cNvPr>
        <xdr:cNvSpPr txBox="1"/>
      </xdr:nvSpPr>
      <xdr:spPr>
        <a:xfrm>
          <a:off x="12478563" y="2989384"/>
          <a:ext cx="1250461" cy="234461"/>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endParaRPr lang="en-AE" sz="1100" b="0" i="0" u="none" strike="noStrike">
            <a:solidFill>
              <a:srgbClr val="000000"/>
            </a:solidFill>
            <a:latin typeface="Calibri"/>
            <a:ea typeface="Calibri"/>
            <a:cs typeface="Calibri"/>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17</xdr:row>
      <xdr:rowOff>173496</xdr:rowOff>
    </xdr:from>
    <xdr:to>
      <xdr:col>9</xdr:col>
      <xdr:colOff>597877</xdr:colOff>
      <xdr:row>41</xdr:row>
      <xdr:rowOff>158353</xdr:rowOff>
    </xdr:to>
    <xdr:graphicFrame macro="">
      <xdr:nvGraphicFramePr>
        <xdr:cNvPr id="2" name="Chart 1">
          <a:extLst>
            <a:ext uri="{FF2B5EF4-FFF2-40B4-BE49-F238E27FC236}">
              <a16:creationId xmlns:a16="http://schemas.microsoft.com/office/drawing/2014/main" id="{AEF52723-28E1-44C6-98E9-37AD40C4F0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140678</xdr:colOff>
      <xdr:row>0</xdr:row>
      <xdr:rowOff>117231</xdr:rowOff>
    </xdr:from>
    <xdr:to>
      <xdr:col>10</xdr:col>
      <xdr:colOff>398585</xdr:colOff>
      <xdr:row>6</xdr:row>
      <xdr:rowOff>175847</xdr:rowOff>
    </xdr:to>
    <xdr:sp macro="" textlink="">
      <xdr:nvSpPr>
        <xdr:cNvPr id="3" name="TextBox 2">
          <a:extLst>
            <a:ext uri="{FF2B5EF4-FFF2-40B4-BE49-F238E27FC236}">
              <a16:creationId xmlns:a16="http://schemas.microsoft.com/office/drawing/2014/main" id="{8B01162C-E23A-E6C8-0D32-C2363BDC6A75}"/>
            </a:ext>
          </a:extLst>
        </xdr:cNvPr>
        <xdr:cNvSpPr txBox="1"/>
      </xdr:nvSpPr>
      <xdr:spPr>
        <a:xfrm>
          <a:off x="140678" y="117231"/>
          <a:ext cx="6353907" cy="1184031"/>
        </a:xfrm>
        <a:prstGeom prst="rect">
          <a:avLst/>
        </a:prstGeom>
        <a:gradFill flip="none" rotWithShape="1">
          <a:gsLst>
            <a:gs pos="0">
              <a:schemeClr val="accent1">
                <a:lumMod val="5000"/>
                <a:lumOff val="95000"/>
              </a:schemeClr>
            </a:gs>
            <a:gs pos="74000">
              <a:schemeClr val="accent1">
                <a:lumMod val="45000"/>
                <a:lumOff val="55000"/>
              </a:schemeClr>
            </a:gs>
            <a:gs pos="16000">
              <a:schemeClr val="accent1">
                <a:lumMod val="64000"/>
                <a:lumOff val="36000"/>
              </a:schemeClr>
            </a:gs>
            <a:gs pos="100000">
              <a:schemeClr val="accent1">
                <a:lumMod val="30000"/>
                <a:lumOff val="70000"/>
              </a:schemeClr>
            </a:gs>
          </a:gsLst>
          <a:path path="circle">
            <a:fillToRect l="100000" b="100000"/>
          </a:path>
          <a:tileRect t="-100000" r="-100000"/>
        </a:gradFill>
        <a:ln w="9525" cmpd="sng">
          <a:solidFill>
            <a:schemeClr val="lt1">
              <a:shade val="50000"/>
            </a:schemeClr>
          </a:solidFill>
        </a:ln>
        <a:scene3d>
          <a:camera prst="orthographicFront"/>
          <a:lightRig rig="threePt" dir="t"/>
        </a:scene3d>
        <a:sp3d contourW="12700" prstMaterial="softEdge">
          <a:bevelT/>
          <a:contourClr>
            <a:schemeClr val="accent1">
              <a:lumMod val="60000"/>
              <a:lumOff val="40000"/>
            </a:schemeClr>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b">
          <a:sp3d contourW="12700">
            <a:contourClr>
              <a:schemeClr val="accent1">
                <a:lumMod val="75000"/>
              </a:schemeClr>
            </a:contourClr>
          </a:sp3d>
        </a:bodyPr>
        <a:lstStyle/>
        <a:p>
          <a:pPr algn="l"/>
          <a:r>
            <a:rPr lang="en-US" sz="2800" b="1" i="0">
              <a:solidFill>
                <a:schemeClr val="dk1"/>
              </a:solidFill>
              <a:effectLst/>
              <a:latin typeface="Britannic Bold" panose="020B0903060703020204" pitchFamily="34" charset="0"/>
              <a:ea typeface="+mn-ea"/>
              <a:cs typeface="+mn-cs"/>
            </a:rPr>
            <a:t>Glow &amp; Go Salon</a:t>
          </a:r>
          <a:r>
            <a:rPr lang="en-US" sz="2800" b="1" i="0" baseline="0">
              <a:solidFill>
                <a:schemeClr val="dk1"/>
              </a:solidFill>
              <a:effectLst/>
              <a:latin typeface="Britannic Bold" panose="020B0903060703020204" pitchFamily="34" charset="0"/>
              <a:ea typeface="+mn-ea"/>
              <a:cs typeface="+mn-cs"/>
            </a:rPr>
            <a:t> </a:t>
          </a:r>
          <a:r>
            <a:rPr lang="en-US" sz="2800" b="1">
              <a:latin typeface="Britannic Bold" panose="020B0903060703020204" pitchFamily="34" charset="0"/>
            </a:rPr>
            <a:t>Sales</a:t>
          </a:r>
          <a:r>
            <a:rPr lang="en-US" sz="2800" b="1" baseline="0">
              <a:latin typeface="Britannic Bold" panose="020B0903060703020204" pitchFamily="34" charset="0"/>
            </a:rPr>
            <a:t> Analysis    </a:t>
          </a:r>
        </a:p>
        <a:p>
          <a:pPr algn="ctr"/>
          <a:endParaRPr lang="en-AE" sz="2800" b="1">
            <a:solidFill>
              <a:schemeClr val="accent1">
                <a:lumMod val="75000"/>
              </a:schemeClr>
            </a:solidFill>
            <a:latin typeface="Britannic Bold" panose="020B0903060703020204" pitchFamily="34" charset="0"/>
          </a:endParaRPr>
        </a:p>
      </xdr:txBody>
    </xdr:sp>
    <xdr:clientData/>
  </xdr:twoCellAnchor>
  <xdr:twoCellAnchor>
    <xdr:from>
      <xdr:col>9</xdr:col>
      <xdr:colOff>597591</xdr:colOff>
      <xdr:row>17</xdr:row>
      <xdr:rowOff>175846</xdr:rowOff>
    </xdr:from>
    <xdr:to>
      <xdr:col>19</xdr:col>
      <xdr:colOff>562707</xdr:colOff>
      <xdr:row>41</xdr:row>
      <xdr:rowOff>170985</xdr:rowOff>
    </xdr:to>
    <xdr:graphicFrame macro="">
      <xdr:nvGraphicFramePr>
        <xdr:cNvPr id="4" name="Chart 3">
          <a:extLst>
            <a:ext uri="{FF2B5EF4-FFF2-40B4-BE49-F238E27FC236}">
              <a16:creationId xmlns:a16="http://schemas.microsoft.com/office/drawing/2014/main" id="{0F1BBDF3-97E3-4661-AED1-84ACBF03CE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515815</xdr:colOff>
      <xdr:row>1</xdr:row>
      <xdr:rowOff>70339</xdr:rowOff>
    </xdr:from>
    <xdr:to>
      <xdr:col>10</xdr:col>
      <xdr:colOff>140676</xdr:colOff>
      <xdr:row>5</xdr:row>
      <xdr:rowOff>164123</xdr:rowOff>
    </xdr:to>
    <xdr:pic>
      <xdr:nvPicPr>
        <xdr:cNvPr id="6" name="Graphic 5" descr="Group of women with solid fill">
          <a:extLst>
            <a:ext uri="{FF2B5EF4-FFF2-40B4-BE49-F238E27FC236}">
              <a16:creationId xmlns:a16="http://schemas.microsoft.com/office/drawing/2014/main" id="{96E01C5D-0AFC-1B34-9540-4BAAC03A731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392615" y="257908"/>
          <a:ext cx="844061" cy="844061"/>
        </a:xfrm>
        <a:prstGeom prst="rect">
          <a:avLst/>
        </a:prstGeom>
      </xdr:spPr>
    </xdr:pic>
    <xdr:clientData/>
  </xdr:twoCellAnchor>
  <xdr:twoCellAnchor>
    <xdr:from>
      <xdr:col>19</xdr:col>
      <xdr:colOff>574431</xdr:colOff>
      <xdr:row>17</xdr:row>
      <xdr:rowOff>164123</xdr:rowOff>
    </xdr:from>
    <xdr:to>
      <xdr:col>31</xdr:col>
      <xdr:colOff>485093</xdr:colOff>
      <xdr:row>42</xdr:row>
      <xdr:rowOff>0</xdr:rowOff>
    </xdr:to>
    <xdr:graphicFrame macro="">
      <xdr:nvGraphicFramePr>
        <xdr:cNvPr id="7" name="Chart 6">
          <a:extLst>
            <a:ext uri="{FF2B5EF4-FFF2-40B4-BE49-F238E27FC236}">
              <a16:creationId xmlns:a16="http://schemas.microsoft.com/office/drawing/2014/main" id="{47759043-A470-4E77-8517-ED7956D556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234461</xdr:colOff>
      <xdr:row>12</xdr:row>
      <xdr:rowOff>164122</xdr:rowOff>
    </xdr:from>
    <xdr:to>
      <xdr:col>4</xdr:col>
      <xdr:colOff>281354</xdr:colOff>
      <xdr:row>17</xdr:row>
      <xdr:rowOff>70337</xdr:rowOff>
    </xdr:to>
    <xdr:sp macro="" textlink="Q4">
      <xdr:nvSpPr>
        <xdr:cNvPr id="8" name="Rectangle: Rounded Corners 7">
          <a:extLst>
            <a:ext uri="{FF2B5EF4-FFF2-40B4-BE49-F238E27FC236}">
              <a16:creationId xmlns:a16="http://schemas.microsoft.com/office/drawing/2014/main" id="{EBA51A8B-E6CE-409F-96C9-795B7027225C}"/>
            </a:ext>
          </a:extLst>
        </xdr:cNvPr>
        <xdr:cNvSpPr/>
      </xdr:nvSpPr>
      <xdr:spPr>
        <a:xfrm>
          <a:off x="234461" y="2414953"/>
          <a:ext cx="2485293" cy="84406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2000" b="0" i="0" u="none" strike="noStrike">
            <a:solidFill>
              <a:srgbClr val="000000"/>
            </a:solidFill>
            <a:latin typeface="Bodoni MT Black" panose="02070A03080606020203" pitchFamily="18" charset="0"/>
            <a:ea typeface="Calibri"/>
            <a:cs typeface="Calibri"/>
          </a:endParaRPr>
        </a:p>
        <a:p>
          <a:pPr algn="ctr"/>
          <a:fld id="{7154640E-84F4-4B5C-A339-568E50514E64}" type="TxLink">
            <a:rPr lang="en-US" sz="2000" b="0" i="0" u="none" strike="noStrike">
              <a:solidFill>
                <a:srgbClr val="000000"/>
              </a:solidFill>
              <a:latin typeface="Bodoni MT Black" panose="02070A03080606020203" pitchFamily="18" charset="0"/>
              <a:ea typeface="Calibri"/>
              <a:cs typeface="Calibri"/>
            </a:rPr>
            <a:t>205839.08</a:t>
          </a:fld>
          <a:endParaRPr lang="en-AE" sz="2000">
            <a:latin typeface="Bodoni MT Black" panose="02070A03080606020203" pitchFamily="18" charset="0"/>
          </a:endParaRPr>
        </a:p>
      </xdr:txBody>
    </xdr:sp>
    <xdr:clientData/>
  </xdr:twoCellAnchor>
  <xdr:twoCellAnchor>
    <xdr:from>
      <xdr:col>0</xdr:col>
      <xdr:colOff>281353</xdr:colOff>
      <xdr:row>13</xdr:row>
      <xdr:rowOff>11725</xdr:rowOff>
    </xdr:from>
    <xdr:to>
      <xdr:col>4</xdr:col>
      <xdr:colOff>246185</xdr:colOff>
      <xdr:row>15</xdr:row>
      <xdr:rowOff>35171</xdr:rowOff>
    </xdr:to>
    <xdr:sp macro="" textlink="">
      <xdr:nvSpPr>
        <xdr:cNvPr id="9" name="TextBox 8">
          <a:extLst>
            <a:ext uri="{FF2B5EF4-FFF2-40B4-BE49-F238E27FC236}">
              <a16:creationId xmlns:a16="http://schemas.microsoft.com/office/drawing/2014/main" id="{EA538A03-3519-DFF1-200B-768412D66C59}"/>
            </a:ext>
          </a:extLst>
        </xdr:cNvPr>
        <xdr:cNvSpPr txBox="1"/>
      </xdr:nvSpPr>
      <xdr:spPr>
        <a:xfrm>
          <a:off x="281353" y="2450125"/>
          <a:ext cx="2403232" cy="398584"/>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E" sz="2000" b="1">
              <a:latin typeface="Bodoni MT Black" panose="02070A03080606020203" pitchFamily="18" charset="0"/>
            </a:rPr>
            <a:t>Total</a:t>
          </a:r>
          <a:r>
            <a:rPr lang="en-AE" sz="2000" b="1" baseline="0">
              <a:latin typeface="Bodoni MT Black" panose="02070A03080606020203" pitchFamily="18" charset="0"/>
            </a:rPr>
            <a:t> Ads Spend</a:t>
          </a:r>
          <a:endParaRPr lang="en-AE" sz="2000" b="1">
            <a:latin typeface="Bodoni MT Black" panose="02070A03080606020203" pitchFamily="18" charset="0"/>
          </a:endParaRPr>
        </a:p>
      </xdr:txBody>
    </xdr:sp>
    <xdr:clientData/>
  </xdr:twoCellAnchor>
  <xdr:twoCellAnchor>
    <xdr:from>
      <xdr:col>0</xdr:col>
      <xdr:colOff>211015</xdr:colOff>
      <xdr:row>7</xdr:row>
      <xdr:rowOff>152399</xdr:rowOff>
    </xdr:from>
    <xdr:to>
      <xdr:col>4</xdr:col>
      <xdr:colOff>293076</xdr:colOff>
      <xdr:row>12</xdr:row>
      <xdr:rowOff>82060</xdr:rowOff>
    </xdr:to>
    <xdr:sp macro="" textlink="'Sheet 1'!O8">
      <xdr:nvSpPr>
        <xdr:cNvPr id="11" name="Rectangle: Rounded Corners 10">
          <a:extLst>
            <a:ext uri="{FF2B5EF4-FFF2-40B4-BE49-F238E27FC236}">
              <a16:creationId xmlns:a16="http://schemas.microsoft.com/office/drawing/2014/main" id="{6FBD7FAE-A102-10F5-93A5-218015E424CC}"/>
            </a:ext>
          </a:extLst>
        </xdr:cNvPr>
        <xdr:cNvSpPr/>
      </xdr:nvSpPr>
      <xdr:spPr>
        <a:xfrm>
          <a:off x="211015" y="1465384"/>
          <a:ext cx="2520461" cy="86750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0DCBED8C-C36F-4824-B5ED-E6A2F636E00B}" type="TxLink">
            <a:rPr lang="en-US" sz="2000" b="0" i="0" u="none" strike="noStrike">
              <a:solidFill>
                <a:srgbClr val="000000"/>
              </a:solidFill>
              <a:latin typeface="Britannic Bold" panose="020B0903060703020204" pitchFamily="34" charset="0"/>
              <a:ea typeface="Calibri"/>
              <a:cs typeface="Calibri"/>
            </a:rPr>
            <a:t>864050.36</a:t>
          </a:fld>
          <a:endParaRPr lang="en-US" sz="2000" b="0" i="0" u="none" strike="noStrike">
            <a:solidFill>
              <a:srgbClr val="000000"/>
            </a:solidFill>
            <a:latin typeface="Britannic Bold" panose="020B0903060703020204" pitchFamily="34" charset="0"/>
            <a:ea typeface="Calibri"/>
            <a:cs typeface="Calibri"/>
          </a:endParaRPr>
        </a:p>
      </xdr:txBody>
    </xdr:sp>
    <xdr:clientData/>
  </xdr:twoCellAnchor>
  <xdr:twoCellAnchor>
    <xdr:from>
      <xdr:col>0</xdr:col>
      <xdr:colOff>398583</xdr:colOff>
      <xdr:row>8</xdr:row>
      <xdr:rowOff>70339</xdr:rowOff>
    </xdr:from>
    <xdr:to>
      <xdr:col>4</xdr:col>
      <xdr:colOff>128953</xdr:colOff>
      <xdr:row>9</xdr:row>
      <xdr:rowOff>152401</xdr:rowOff>
    </xdr:to>
    <xdr:sp macro="" textlink="">
      <xdr:nvSpPr>
        <xdr:cNvPr id="18" name="TextBox 17">
          <a:extLst>
            <a:ext uri="{FF2B5EF4-FFF2-40B4-BE49-F238E27FC236}">
              <a16:creationId xmlns:a16="http://schemas.microsoft.com/office/drawing/2014/main" id="{16D48494-2385-F34A-0A3D-DD015E7CF48C}"/>
            </a:ext>
          </a:extLst>
        </xdr:cNvPr>
        <xdr:cNvSpPr txBox="1"/>
      </xdr:nvSpPr>
      <xdr:spPr>
        <a:xfrm>
          <a:off x="398583" y="1570893"/>
          <a:ext cx="2168770" cy="269631"/>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AE" sz="1800">
              <a:latin typeface="Bodoni MT Black" panose="02070A03080606020203" pitchFamily="18" charset="0"/>
            </a:rPr>
            <a:t>TOTAL</a:t>
          </a:r>
          <a:r>
            <a:rPr lang="en-AE" sz="1800" baseline="0">
              <a:latin typeface="Bodoni MT Black" panose="02070A03080606020203" pitchFamily="18" charset="0"/>
            </a:rPr>
            <a:t> PROFIT</a:t>
          </a:r>
        </a:p>
        <a:p>
          <a:endParaRPr lang="en-AE" sz="1800">
            <a:latin typeface="Bodoni MT Black" panose="02070A03080606020203" pitchFamily="18" charset="0"/>
          </a:endParaRPr>
        </a:p>
      </xdr:txBody>
    </xdr:sp>
    <xdr:clientData/>
  </xdr:twoCellAnchor>
  <xdr:twoCellAnchor>
    <xdr:from>
      <xdr:col>19</xdr:col>
      <xdr:colOff>539261</xdr:colOff>
      <xdr:row>0</xdr:row>
      <xdr:rowOff>35169</xdr:rowOff>
    </xdr:from>
    <xdr:to>
      <xdr:col>31</xdr:col>
      <xdr:colOff>480645</xdr:colOff>
      <xdr:row>17</xdr:row>
      <xdr:rowOff>179948</xdr:rowOff>
    </xdr:to>
    <xdr:graphicFrame macro="">
      <xdr:nvGraphicFramePr>
        <xdr:cNvPr id="19" name="Chart 18">
          <a:extLst>
            <a:ext uri="{FF2B5EF4-FFF2-40B4-BE49-F238E27FC236}">
              <a16:creationId xmlns:a16="http://schemas.microsoft.com/office/drawing/2014/main" id="{B7700285-EE54-4FC6-B3EF-8F840A89AA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386861</xdr:colOff>
      <xdr:row>12</xdr:row>
      <xdr:rowOff>140676</xdr:rowOff>
    </xdr:from>
    <xdr:to>
      <xdr:col>8</xdr:col>
      <xdr:colOff>468922</xdr:colOff>
      <xdr:row>17</xdr:row>
      <xdr:rowOff>70337</xdr:rowOff>
    </xdr:to>
    <xdr:sp macro="" textlink="'Sheet 1'!O13">
      <xdr:nvSpPr>
        <xdr:cNvPr id="20" name="Rectangle: Rounded Corners 19">
          <a:extLst>
            <a:ext uri="{FF2B5EF4-FFF2-40B4-BE49-F238E27FC236}">
              <a16:creationId xmlns:a16="http://schemas.microsoft.com/office/drawing/2014/main" id="{5DFDC090-B9F1-F9BF-593B-38C5DC852E5E}"/>
            </a:ext>
          </a:extLst>
        </xdr:cNvPr>
        <xdr:cNvSpPr/>
      </xdr:nvSpPr>
      <xdr:spPr>
        <a:xfrm>
          <a:off x="2825261" y="2391507"/>
          <a:ext cx="2520461" cy="86750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6F59AC4C-3BB9-4D66-8AF4-24DCBE9C8645}" type="TxLink">
            <a:rPr lang="en-US" sz="1800" b="1" i="0" u="none" strike="noStrike">
              <a:solidFill>
                <a:srgbClr val="000000"/>
              </a:solidFill>
              <a:latin typeface="Berlin Sans FB Demi" panose="020E0802020502020306" pitchFamily="34" charset="0"/>
              <a:ea typeface="Calibri"/>
              <a:cs typeface="Calibri"/>
            </a:rPr>
            <a:t>1148659.94</a:t>
          </a:fld>
          <a:endParaRPr lang="en-US" sz="1800" b="1" i="0" u="none" strike="noStrike">
            <a:solidFill>
              <a:srgbClr val="000000"/>
            </a:solidFill>
            <a:latin typeface="Berlin Sans FB Demi" panose="020E0802020502020306" pitchFamily="34" charset="0"/>
            <a:ea typeface="Calibri"/>
            <a:cs typeface="Calibri"/>
          </a:endParaRPr>
        </a:p>
      </xdr:txBody>
    </xdr:sp>
    <xdr:clientData/>
  </xdr:twoCellAnchor>
  <xdr:twoCellAnchor>
    <xdr:from>
      <xdr:col>5</xdr:col>
      <xdr:colOff>46892</xdr:colOff>
      <xdr:row>13</xdr:row>
      <xdr:rowOff>105508</xdr:rowOff>
    </xdr:from>
    <xdr:to>
      <xdr:col>8</xdr:col>
      <xdr:colOff>140677</xdr:colOff>
      <xdr:row>15</xdr:row>
      <xdr:rowOff>58616</xdr:rowOff>
    </xdr:to>
    <xdr:sp macro="" textlink="">
      <xdr:nvSpPr>
        <xdr:cNvPr id="21" name="TextBox 20">
          <a:extLst>
            <a:ext uri="{FF2B5EF4-FFF2-40B4-BE49-F238E27FC236}">
              <a16:creationId xmlns:a16="http://schemas.microsoft.com/office/drawing/2014/main" id="{6923976F-EA1C-4DB7-1A62-E4D1F3DD5922}"/>
            </a:ext>
          </a:extLst>
        </xdr:cNvPr>
        <xdr:cNvSpPr txBox="1"/>
      </xdr:nvSpPr>
      <xdr:spPr>
        <a:xfrm>
          <a:off x="3094892" y="2543908"/>
          <a:ext cx="1922585" cy="328246"/>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AE" sz="1800" b="1">
              <a:latin typeface="Bodoni MT Black" panose="02070A03080606020203" pitchFamily="18" charset="0"/>
            </a:rPr>
            <a:t>ROI</a:t>
          </a:r>
        </a:p>
      </xdr:txBody>
    </xdr:sp>
    <xdr:clientData/>
  </xdr:twoCellAnchor>
  <xdr:twoCellAnchor>
    <xdr:from>
      <xdr:col>4</xdr:col>
      <xdr:colOff>375138</xdr:colOff>
      <xdr:row>7</xdr:row>
      <xdr:rowOff>140676</xdr:rowOff>
    </xdr:from>
    <xdr:to>
      <xdr:col>8</xdr:col>
      <xdr:colOff>457199</xdr:colOff>
      <xdr:row>12</xdr:row>
      <xdr:rowOff>70337</xdr:rowOff>
    </xdr:to>
    <xdr:sp macro="" textlink="'Sheet 1'!O4">
      <xdr:nvSpPr>
        <xdr:cNvPr id="22" name="Rectangle: Rounded Corners 21">
          <a:extLst>
            <a:ext uri="{FF2B5EF4-FFF2-40B4-BE49-F238E27FC236}">
              <a16:creationId xmlns:a16="http://schemas.microsoft.com/office/drawing/2014/main" id="{A569DC33-78F1-769C-56BB-508F3B6A128E}"/>
            </a:ext>
          </a:extLst>
        </xdr:cNvPr>
        <xdr:cNvSpPr/>
      </xdr:nvSpPr>
      <xdr:spPr>
        <a:xfrm>
          <a:off x="2813538" y="1453661"/>
          <a:ext cx="2520461" cy="86750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6D24B16F-6485-4587-BA1D-224DBDA607AE}" type="TxLink">
            <a:rPr lang="en-US" sz="1800" b="1" i="0" u="none" strike="noStrike">
              <a:solidFill>
                <a:srgbClr val="000000"/>
              </a:solidFill>
              <a:latin typeface="Berlin Sans FB Demi" panose="020E0802020502020306" pitchFamily="34" charset="0"/>
              <a:ea typeface="Calibri"/>
              <a:cs typeface="Calibri"/>
            </a:rPr>
            <a:t>1148660.94</a:t>
          </a:fld>
          <a:endParaRPr lang="en-US" sz="1800" b="1" i="0" u="none" strike="noStrike">
            <a:solidFill>
              <a:srgbClr val="000000"/>
            </a:solidFill>
            <a:latin typeface="Berlin Sans FB Demi" panose="020E0802020502020306" pitchFamily="34" charset="0"/>
            <a:ea typeface="Calibri"/>
            <a:cs typeface="Calibri"/>
          </a:endParaRPr>
        </a:p>
      </xdr:txBody>
    </xdr:sp>
    <xdr:clientData/>
  </xdr:twoCellAnchor>
  <xdr:twoCellAnchor>
    <xdr:from>
      <xdr:col>4</xdr:col>
      <xdr:colOff>492369</xdr:colOff>
      <xdr:row>8</xdr:row>
      <xdr:rowOff>82061</xdr:rowOff>
    </xdr:from>
    <xdr:to>
      <xdr:col>8</xdr:col>
      <xdr:colOff>211015</xdr:colOff>
      <xdr:row>10</xdr:row>
      <xdr:rowOff>82062</xdr:rowOff>
    </xdr:to>
    <xdr:sp macro="" textlink="">
      <xdr:nvSpPr>
        <xdr:cNvPr id="23" name="TextBox 22">
          <a:extLst>
            <a:ext uri="{FF2B5EF4-FFF2-40B4-BE49-F238E27FC236}">
              <a16:creationId xmlns:a16="http://schemas.microsoft.com/office/drawing/2014/main" id="{CEC4B5F9-D337-C775-5873-A8269FE080EA}"/>
            </a:ext>
          </a:extLst>
        </xdr:cNvPr>
        <xdr:cNvSpPr txBox="1"/>
      </xdr:nvSpPr>
      <xdr:spPr>
        <a:xfrm>
          <a:off x="2930769" y="1582615"/>
          <a:ext cx="2157046" cy="375139"/>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AE" sz="1800">
              <a:latin typeface="Bodoni MT Black" panose="02070A03080606020203" pitchFamily="18" charset="0"/>
            </a:rPr>
            <a:t>Total</a:t>
          </a:r>
          <a:r>
            <a:rPr lang="en-AE" sz="1800" baseline="0">
              <a:latin typeface="Bodoni MT Black" panose="02070A03080606020203" pitchFamily="18" charset="0"/>
            </a:rPr>
            <a:t> Revenue</a:t>
          </a:r>
          <a:endParaRPr lang="en-AE" sz="1800">
            <a:latin typeface="Bodoni MT Black" panose="02070A03080606020203" pitchFamily="18" charset="0"/>
          </a:endParaRPr>
        </a:p>
      </xdr:txBody>
    </xdr:sp>
    <xdr:clientData/>
  </xdr:twoCellAnchor>
  <xdr:twoCellAnchor>
    <xdr:from>
      <xdr:col>10</xdr:col>
      <xdr:colOff>492369</xdr:colOff>
      <xdr:row>0</xdr:row>
      <xdr:rowOff>35168</xdr:rowOff>
    </xdr:from>
    <xdr:to>
      <xdr:col>19</xdr:col>
      <xdr:colOff>574431</xdr:colOff>
      <xdr:row>17</xdr:row>
      <xdr:rowOff>164123</xdr:rowOff>
    </xdr:to>
    <xdr:graphicFrame macro="">
      <xdr:nvGraphicFramePr>
        <xdr:cNvPr id="24" name="Chart 23">
          <a:extLst>
            <a:ext uri="{FF2B5EF4-FFF2-40B4-BE49-F238E27FC236}">
              <a16:creationId xmlns:a16="http://schemas.microsoft.com/office/drawing/2014/main" id="{542F84B9-5096-4E2A-B005-80C9AA0FC9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31</xdr:col>
      <xdr:colOff>566224</xdr:colOff>
      <xdr:row>21</xdr:row>
      <xdr:rowOff>70925</xdr:rowOff>
    </xdr:from>
    <xdr:to>
      <xdr:col>35</xdr:col>
      <xdr:colOff>504091</xdr:colOff>
      <xdr:row>34</xdr:row>
      <xdr:rowOff>99500</xdr:rowOff>
    </xdr:to>
    <mc:AlternateContent xmlns:mc="http://schemas.openxmlformats.org/markup-compatibility/2006">
      <mc:Choice xmlns:a14="http://schemas.microsoft.com/office/drawing/2010/main" Requires="a14">
        <xdr:graphicFrame macro="">
          <xdr:nvGraphicFramePr>
            <xdr:cNvPr id="25" name="Profit">
              <a:extLst>
                <a:ext uri="{FF2B5EF4-FFF2-40B4-BE49-F238E27FC236}">
                  <a16:creationId xmlns:a16="http://schemas.microsoft.com/office/drawing/2014/main" id="{BA87E602-72ED-A113-E138-09C2AC2BBD31}"/>
                </a:ext>
              </a:extLst>
            </xdr:cNvPr>
            <xdr:cNvGraphicFramePr/>
          </xdr:nvGraphicFramePr>
          <xdr:xfrm>
            <a:off x="0" y="0"/>
            <a:ext cx="0" cy="0"/>
          </xdr:xfrm>
          <a:graphic>
            <a:graphicData uri="http://schemas.microsoft.com/office/drawing/2010/slicer">
              <sle:slicer xmlns:sle="http://schemas.microsoft.com/office/drawing/2010/slicer" name="Profit"/>
            </a:graphicData>
          </a:graphic>
        </xdr:graphicFrame>
      </mc:Choice>
      <mc:Fallback>
        <xdr:sp macro="" textlink="">
          <xdr:nvSpPr>
            <xdr:cNvPr id="0" name=""/>
            <xdr:cNvSpPr>
              <a:spLocks noTextEdit="1"/>
            </xdr:cNvSpPr>
          </xdr:nvSpPr>
          <xdr:spPr>
            <a:xfrm>
              <a:off x="19463824" y="4009879"/>
              <a:ext cx="2376267" cy="2466975"/>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553915</xdr:colOff>
      <xdr:row>13</xdr:row>
      <xdr:rowOff>128955</xdr:rowOff>
    </xdr:from>
    <xdr:to>
      <xdr:col>35</xdr:col>
      <xdr:colOff>492369</xdr:colOff>
      <xdr:row>21</xdr:row>
      <xdr:rowOff>1</xdr:rowOff>
    </xdr:to>
    <mc:AlternateContent xmlns:mc="http://schemas.openxmlformats.org/markup-compatibility/2006">
      <mc:Choice xmlns:a14="http://schemas.microsoft.com/office/drawing/2010/main" Requires="a14">
        <xdr:graphicFrame macro="">
          <xdr:nvGraphicFramePr>
            <xdr:cNvPr id="26" name="Category">
              <a:extLst>
                <a:ext uri="{FF2B5EF4-FFF2-40B4-BE49-F238E27FC236}">
                  <a16:creationId xmlns:a16="http://schemas.microsoft.com/office/drawing/2014/main" id="{12A62036-AE91-0F89-6D46-60D89FA1A0D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9451515" y="2567355"/>
              <a:ext cx="2376854" cy="1371600"/>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576777</xdr:colOff>
      <xdr:row>34</xdr:row>
      <xdr:rowOff>120749</xdr:rowOff>
    </xdr:from>
    <xdr:to>
      <xdr:col>35</xdr:col>
      <xdr:colOff>492369</xdr:colOff>
      <xdr:row>42</xdr:row>
      <xdr:rowOff>11725</xdr:rowOff>
    </xdr:to>
    <mc:AlternateContent xmlns:mc="http://schemas.openxmlformats.org/markup-compatibility/2006">
      <mc:Choice xmlns:a14="http://schemas.microsoft.com/office/drawing/2010/main" Requires="a14">
        <xdr:graphicFrame macro="">
          <xdr:nvGraphicFramePr>
            <xdr:cNvPr id="27" name="Season">
              <a:extLst>
                <a:ext uri="{FF2B5EF4-FFF2-40B4-BE49-F238E27FC236}">
                  <a16:creationId xmlns:a16="http://schemas.microsoft.com/office/drawing/2014/main" id="{8AC3BD5C-FE00-7309-85D3-D8E2089211EC}"/>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dr:sp macro="" textlink="">
          <xdr:nvSpPr>
            <xdr:cNvPr id="0" name=""/>
            <xdr:cNvSpPr>
              <a:spLocks noTextEdit="1"/>
            </xdr:cNvSpPr>
          </xdr:nvSpPr>
          <xdr:spPr>
            <a:xfrm>
              <a:off x="19474377" y="6498103"/>
              <a:ext cx="2353992" cy="1391530"/>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552743</xdr:colOff>
      <xdr:row>0</xdr:row>
      <xdr:rowOff>10551</xdr:rowOff>
    </xdr:from>
    <xdr:to>
      <xdr:col>35</xdr:col>
      <xdr:colOff>468922</xdr:colOff>
      <xdr:row>13</xdr:row>
      <xdr:rowOff>39126</xdr:rowOff>
    </xdr:to>
    <mc:AlternateContent xmlns:mc="http://schemas.openxmlformats.org/markup-compatibility/2006">
      <mc:Choice xmlns:a14="http://schemas.microsoft.com/office/drawing/2010/main" Requires="a14">
        <xdr:graphicFrame macro="">
          <xdr:nvGraphicFramePr>
            <xdr:cNvPr id="28" name="Ad Spend">
              <a:extLst>
                <a:ext uri="{FF2B5EF4-FFF2-40B4-BE49-F238E27FC236}">
                  <a16:creationId xmlns:a16="http://schemas.microsoft.com/office/drawing/2014/main" id="{7AAFD56F-81FD-D1CC-4CF8-6D7666015C94}"/>
                </a:ext>
              </a:extLst>
            </xdr:cNvPr>
            <xdr:cNvGraphicFramePr/>
          </xdr:nvGraphicFramePr>
          <xdr:xfrm>
            <a:off x="0" y="0"/>
            <a:ext cx="0" cy="0"/>
          </xdr:xfrm>
          <a:graphic>
            <a:graphicData uri="http://schemas.microsoft.com/office/drawing/2010/slicer">
              <sle:slicer xmlns:sle="http://schemas.microsoft.com/office/drawing/2010/slicer" name="Ad Spend"/>
            </a:graphicData>
          </a:graphic>
        </xdr:graphicFrame>
      </mc:Choice>
      <mc:Fallback>
        <xdr:sp macro="" textlink="">
          <xdr:nvSpPr>
            <xdr:cNvPr id="0" name=""/>
            <xdr:cNvSpPr>
              <a:spLocks noTextEdit="1"/>
            </xdr:cNvSpPr>
          </xdr:nvSpPr>
          <xdr:spPr>
            <a:xfrm>
              <a:off x="19450343" y="10551"/>
              <a:ext cx="2354579" cy="2466975"/>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23446</xdr:colOff>
      <xdr:row>7</xdr:row>
      <xdr:rowOff>70338</xdr:rowOff>
    </xdr:from>
    <xdr:to>
      <xdr:col>10</xdr:col>
      <xdr:colOff>280601</xdr:colOff>
      <xdr:row>17</xdr:row>
      <xdr:rowOff>140677</xdr:rowOff>
    </xdr:to>
    <xdr:pic>
      <xdr:nvPicPr>
        <xdr:cNvPr id="31" name="Graphic 30" descr="Woman in black skirt">
          <a:extLst>
            <a:ext uri="{FF2B5EF4-FFF2-40B4-BE49-F238E27FC236}">
              <a16:creationId xmlns:a16="http://schemas.microsoft.com/office/drawing/2014/main" id="{16CB6255-D013-BA86-D3EA-CF9CCB25C0A7}"/>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5509846" y="1383323"/>
          <a:ext cx="866755" cy="1946031"/>
        </a:xfrm>
        <a:prstGeom prst="rect">
          <a:avLst/>
        </a:prstGeom>
      </xdr:spPr>
    </xdr:pic>
    <xdr:clientData/>
  </xdr:twoCellAnchor>
</xdr:wsDr>
</file>

<file path=xl/drawings/drawing3.xml><?xml version="1.0" encoding="utf-8"?>
<c:userShapes xmlns:c="http://schemas.openxmlformats.org/drawingml/2006/chart">
  <cdr:relSizeAnchor xmlns:cdr="http://schemas.openxmlformats.org/drawingml/2006/chartDrawing">
    <cdr:from>
      <cdr:x>0.31792</cdr:x>
      <cdr:y>0.01306</cdr:y>
    </cdr:from>
    <cdr:to>
      <cdr:x>0.41619</cdr:x>
      <cdr:y>0.14633</cdr:y>
    </cdr:to>
    <cdr:pic>
      <cdr:nvPicPr>
        <cdr:cNvPr id="5" name="Graphic 4" descr="Daily calendar with solid fill">
          <a:extLst xmlns:a="http://schemas.openxmlformats.org/drawingml/2006/main">
            <a:ext uri="{FF2B5EF4-FFF2-40B4-BE49-F238E27FC236}">
              <a16:creationId xmlns:a16="http://schemas.microsoft.com/office/drawing/2014/main" id="{DB9F7F97-6370-08C9-784D-E856BDD50F91}"/>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1934308" y="58616"/>
          <a:ext cx="597877" cy="597877"/>
        </a:xfrm>
        <a:prstGeom xmlns:a="http://schemas.openxmlformats.org/drawingml/2006/main" prst="rect">
          <a:avLst/>
        </a:prstGeom>
      </cdr:spPr>
    </cdr:pic>
  </cdr:relSizeAnchor>
</c:userShapes>
</file>

<file path=xl/drawings/drawing4.xml><?xml version="1.0" encoding="utf-8"?>
<c:userShapes xmlns:c="http://schemas.openxmlformats.org/drawingml/2006/chart">
  <cdr:relSizeAnchor xmlns:cdr="http://schemas.openxmlformats.org/drawingml/2006/chartDrawing">
    <cdr:from>
      <cdr:x>0.45066</cdr:x>
      <cdr:y>0.06778</cdr:y>
    </cdr:from>
    <cdr:to>
      <cdr:x>0.54736</cdr:x>
      <cdr:y>0.19813</cdr:y>
    </cdr:to>
    <cdr:pic>
      <cdr:nvPicPr>
        <cdr:cNvPr id="5" name="Graphic 4" descr="Clock with solid fill">
          <a:extLst xmlns:a="http://schemas.openxmlformats.org/drawingml/2006/main">
            <a:ext uri="{FF2B5EF4-FFF2-40B4-BE49-F238E27FC236}">
              <a16:creationId xmlns:a16="http://schemas.microsoft.com/office/drawing/2014/main" id="{60452036-680B-B665-1125-93F59E1F6DD5}"/>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2731477" y="304800"/>
          <a:ext cx="586154" cy="586154"/>
        </a:xfrm>
        <a:prstGeom xmlns:a="http://schemas.openxmlformats.org/drawingml/2006/main" prst="rect">
          <a:avLst/>
        </a:prstGeom>
      </cdr:spPr>
    </cdr:pic>
  </cdr:relSizeAnchor>
</c:userShapes>
</file>

<file path=xl/drawings/drawing5.xml><?xml version="1.0" encoding="utf-8"?>
<c:userShapes xmlns:c="http://schemas.openxmlformats.org/drawingml/2006/chart">
  <cdr:relSizeAnchor xmlns:cdr="http://schemas.openxmlformats.org/drawingml/2006/chartDrawing">
    <cdr:from>
      <cdr:x>0.35368</cdr:x>
      <cdr:y>0.02332</cdr:y>
    </cdr:from>
    <cdr:to>
      <cdr:x>0.77712</cdr:x>
      <cdr:y>0.10881</cdr:y>
    </cdr:to>
    <cdr:sp macro="" textlink="">
      <cdr:nvSpPr>
        <cdr:cNvPr id="2" name="TextBox 1">
          <a:extLst xmlns:a="http://schemas.openxmlformats.org/drawingml/2006/main">
            <a:ext uri="{FF2B5EF4-FFF2-40B4-BE49-F238E27FC236}">
              <a16:creationId xmlns:a16="http://schemas.microsoft.com/office/drawing/2014/main" id="{696D492F-4109-BE3C-7FB4-EE2A56489281}"/>
            </a:ext>
          </a:extLst>
        </cdr:cNvPr>
        <cdr:cNvSpPr txBox="1"/>
      </cdr:nvSpPr>
      <cdr:spPr>
        <a:xfrm xmlns:a="http://schemas.openxmlformats.org/drawingml/2006/main">
          <a:off x="2555631" y="105508"/>
          <a:ext cx="3059723" cy="38686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AE" sz="1600" b="1" kern="1200">
              <a:solidFill>
                <a:sysClr val="windowText" lastClr="000000"/>
              </a:solidFill>
            </a:rPr>
            <a:t>ADS</a:t>
          </a:r>
          <a:r>
            <a:rPr lang="en-AE" sz="1600" b="1" kern="1200" baseline="0">
              <a:solidFill>
                <a:sysClr val="windowText" lastClr="000000"/>
              </a:solidFill>
            </a:rPr>
            <a:t> &amp; PROFIT BY SEASON</a:t>
          </a:r>
          <a:endParaRPr lang="en-AE" sz="1600" b="1" kern="1200">
            <a:solidFill>
              <a:sysClr val="windowText" lastClr="000000"/>
            </a:solidFill>
          </a:endParaRPr>
        </a:p>
      </cdr:txBody>
    </cdr:sp>
  </cdr:relSizeAnchor>
  <cdr:relSizeAnchor xmlns:cdr="http://schemas.openxmlformats.org/drawingml/2006/chartDrawing">
    <cdr:from>
      <cdr:x>0.90042</cdr:x>
      <cdr:y>0.02591</cdr:y>
    </cdr:from>
    <cdr:to>
      <cdr:x>0.98641</cdr:x>
      <cdr:y>0.16321</cdr:y>
    </cdr:to>
    <cdr:pic>
      <cdr:nvPicPr>
        <cdr:cNvPr id="4" name="Graphic 3" descr="Tools with solid fill">
          <a:extLst xmlns:a="http://schemas.openxmlformats.org/drawingml/2006/main">
            <a:ext uri="{FF2B5EF4-FFF2-40B4-BE49-F238E27FC236}">
              <a16:creationId xmlns:a16="http://schemas.microsoft.com/office/drawing/2014/main" id="{558B1191-50CD-776C-788A-5E1A5C62DA54}"/>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6506308" y="117230"/>
          <a:ext cx="621323" cy="621323"/>
        </a:xfrm>
        <a:prstGeom xmlns:a="http://schemas.openxmlformats.org/drawingml/2006/main" prst="rect">
          <a:avLst/>
        </a:prstGeom>
      </cdr:spPr>
    </cdr:pic>
  </cdr:relSizeAnchor>
</c:userShapes>
</file>

<file path=xl/drawings/drawing6.xml><?xml version="1.0" encoding="utf-8"?>
<c:userShapes xmlns:c="http://schemas.openxmlformats.org/drawingml/2006/chart">
  <cdr:relSizeAnchor xmlns:cdr="http://schemas.openxmlformats.org/drawingml/2006/chartDrawing">
    <cdr:from>
      <cdr:x>0.61551</cdr:x>
      <cdr:y>0.05627</cdr:y>
    </cdr:from>
    <cdr:to>
      <cdr:x>0.70759</cdr:x>
      <cdr:y>0.25673</cdr:y>
    </cdr:to>
    <cdr:pic>
      <cdr:nvPicPr>
        <cdr:cNvPr id="3" name="Graphic 2" descr="Chat bubble with solid fill">
          <a:extLst xmlns:a="http://schemas.openxmlformats.org/drawingml/2006/main">
            <a:ext uri="{FF2B5EF4-FFF2-40B4-BE49-F238E27FC236}">
              <a16:creationId xmlns:a16="http://schemas.microsoft.com/office/drawing/2014/main" id="{6F0BDFF4-C812-6A0F-D14E-4C10C0438422}"/>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4466494" y="187571"/>
          <a:ext cx="668214" cy="668214"/>
        </a:xfrm>
        <a:prstGeom xmlns:a="http://schemas.openxmlformats.org/drawingml/2006/main" prst="rect">
          <a:avLst/>
        </a:prstGeom>
      </cdr:spPr>
    </cdr:pic>
  </cdr:relSizeAnchor>
</c:userShapes>
</file>

<file path=xl/drawings/drawing7.xml><?xml version="1.0" encoding="utf-8"?>
<c:userShapes xmlns:c="http://schemas.openxmlformats.org/drawingml/2006/chart">
  <cdr:relSizeAnchor xmlns:cdr="http://schemas.openxmlformats.org/drawingml/2006/chartDrawing">
    <cdr:from>
      <cdr:x>0.18947</cdr:x>
      <cdr:y>0.03534</cdr:y>
    </cdr:from>
    <cdr:to>
      <cdr:x>0.31158</cdr:x>
      <cdr:y>0.24028</cdr:y>
    </cdr:to>
    <cdr:pic>
      <cdr:nvPicPr>
        <cdr:cNvPr id="3" name="Graphic 2" descr="Arrow circle with solid fill">
          <a:extLst xmlns:a="http://schemas.openxmlformats.org/drawingml/2006/main">
            <a:ext uri="{FF2B5EF4-FFF2-40B4-BE49-F238E27FC236}">
              <a16:creationId xmlns:a16="http://schemas.microsoft.com/office/drawing/2014/main" id="{25E7F6D8-A459-25DC-73D4-F2506D62D29E}"/>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1055076" y="117230"/>
          <a:ext cx="679940" cy="679940"/>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Hamdy Helwa" refreshedDate="46018.021483912038" backgroundQuery="1" createdVersion="8" refreshedVersion="8" minRefreshableVersion="3" recordCount="0" supportSubquery="1" supportAdvancedDrill="1" xr:uid="{2C785335-5750-42BA-BC55-F43CB909941F}">
  <cacheSource type="external" connectionId="4"/>
  <cacheFields count="3">
    <cacheField name="[Sheet1].[Category].[Category]" caption="Category" numFmtId="0" hierarchy="5" level="1">
      <sharedItems count="4">
        <s v="Color"/>
        <s v="Facials"/>
        <s v="Haircut"/>
        <s v="Styling"/>
      </sharedItems>
    </cacheField>
    <cacheField name="[Measures].[Sum of Returns]" caption="Sum of Returns" numFmtId="0" hierarchy="31" level="32767"/>
    <cacheField name="[Sheet1].[Season].[Season]" caption="Season" numFmtId="0" hierarchy="1" level="1">
      <sharedItems containsSemiMixedTypes="0" containsNonDate="0" containsString="0"/>
    </cacheField>
  </cacheFields>
  <cacheHierarchies count="35">
    <cacheHierarchy uniqueName="[Sheet1].[Date]" caption="Date" attribute="1" time="1" defaultMemberUniqueName="[Sheet1].[Date].[All]" allUniqueName="[Sheet1].[Date].[All]" dimensionUniqueName="[Sheet1]" displayFolder="" count="2" memberValueDatatype="7" unbalanced="0"/>
    <cacheHierarchy uniqueName="[Sheet1].[Season]" caption="Season" attribute="1" defaultMemberUniqueName="[Sheet1].[Season].[All]" allUniqueName="[Sheet1].[Season].[All]" dimensionUniqueName="[Sheet1]" displayFolder="" count="2" memberValueDatatype="130" unbalanced="0">
      <fieldsUsage count="2">
        <fieldUsage x="-1"/>
        <fieldUsage x="2"/>
      </fieldsUsage>
    </cacheHierarchy>
    <cacheHierarchy uniqueName="[Sheet1].[Time of Day]" caption="Time of Day" attribute="1" defaultMemberUniqueName="[Sheet1].[Time of Day].[All]" allUniqueName="[Sheet1].[Time of Day].[All]" dimensionUniqueName="[Sheet1]" displayFolder="" count="2" memberValueDatatype="130" unbalanced="0"/>
    <cacheHierarchy uniqueName="[Sheet1].[Channel]" caption="Channel" attribute="1" defaultMemberUniqueName="[Sheet1].[Channel].[All]" allUniqueName="[Sheet1].[Channel].[All]" dimensionUniqueName="[Sheet1]" displayFolder="" count="2" memberValueDatatype="130" unbalanced="0"/>
    <cacheHierarchy uniqueName="[Sheet1].[Customer Type]" caption="Customer Type" attribute="1" defaultMemberUniqueName="[Sheet1].[Customer Type].[All]" allUniqueName="[Sheet1].[Customer Type].[All]" dimensionUniqueName="[Sheet1]" displayFolder="" count="2" memberValueDatatype="130" unbalanced="0"/>
    <cacheHierarchy uniqueName="[Sheet1].[Category]" caption="Category" attribute="1" defaultMemberUniqueName="[Sheet1].[Category].[All]" allUniqueName="[Sheet1].[Category].[All]" dimensionUniqueName="[Sheet1]" displayFolder="" count="2" memberValueDatatype="130" unbalanced="0">
      <fieldsUsage count="2">
        <fieldUsage x="-1"/>
        <fieldUsage x="0"/>
      </fieldsUsage>
    </cacheHierarchy>
    <cacheHierarchy uniqueName="[Sheet1].[Ad Spend]" caption="Ad Spend" attribute="1" defaultMemberUniqueName="[Sheet1].[Ad Spend].[All]" allUniqueName="[Sheet1].[Ad Spend].[All]" dimensionUniqueName="[Sheet1]" displayFolder="" count="2" memberValueDatatype="5" unbalanced="0"/>
    <cacheHierarchy uniqueName="[Sheet1].[Conversions]" caption="Conversions" attribute="1" defaultMemberUniqueName="[Sheet1].[Conversions].[All]" allUniqueName="[Sheet1].[Conversions].[All]" dimensionUniqueName="[Sheet1]" displayFolder="" count="2" memberValueDatatype="20" unbalanced="0"/>
    <cacheHierarchy uniqueName="[Sheet1].[Revenue]" caption="Revenue" attribute="1" defaultMemberUniqueName="[Sheet1].[Revenue].[All]" allUniqueName="[Sheet1].[Revenue].[All]" dimensionUniqueName="[Sheet1]" displayFolder="" count="2" memberValueDatatype="5" unbalanced="0"/>
    <cacheHierarchy uniqueName="[Sheet1].[Returns]" caption="Returns" attribute="1" defaultMemberUniqueName="[Sheet1].[Returns].[All]" allUniqueName="[Sheet1].[Returns].[All]" dimensionUniqueName="[Sheet1]" displayFolder="" count="2" memberValueDatatype="20" unbalanced="0"/>
    <cacheHierarchy uniqueName="[Sheet1].[Profit]" caption="Profit" attribute="1" defaultMemberUniqueName="[Sheet1].[Profit].[All]" allUniqueName="[Sheet1].[Profit].[All]" dimensionUniqueName="[Sheet1]" displayFolder="" count="2" memberValueDatatype="5" unbalanced="0"/>
    <cacheHierarchy uniqueName="[Sheet1].[Date (Month)]" caption="Date (Month)" attribute="1" defaultMemberUniqueName="[Sheet1].[Date (Month)].[All]" allUniqueName="[Sheet1].[Date (Month)].[All]" dimensionUniqueName="[Sheet1]" displayFolder="" count="2" memberValueDatatype="130" unbalanced="0"/>
    <cacheHierarchy uniqueName="[Sheet1  3].[Date]" caption="Date" attribute="1" time="1" defaultMemberUniqueName="[Sheet1  3].[Date].[All]" allUniqueName="[Sheet1  3].[Date].[All]" dimensionUniqueName="[Sheet1  3]" displayFolder="" count="2" memberValueDatatype="7" unbalanced="0"/>
    <cacheHierarchy uniqueName="[Sheet1  3].[Season]" caption="Season" attribute="1" defaultMemberUniqueName="[Sheet1  3].[Season].[All]" allUniqueName="[Sheet1  3].[Season].[All]" dimensionUniqueName="[Sheet1  3]" displayFolder="" count="2" memberValueDatatype="130" unbalanced="0"/>
    <cacheHierarchy uniqueName="[Sheet1  3].[Time of Day]" caption="Time of Day" attribute="1" defaultMemberUniqueName="[Sheet1  3].[Time of Day].[All]" allUniqueName="[Sheet1  3].[Time of Day].[All]" dimensionUniqueName="[Sheet1  3]" displayFolder="" count="2" memberValueDatatype="130" unbalanced="0"/>
    <cacheHierarchy uniqueName="[Sheet1  3].[Channel]" caption="Channel" attribute="1" defaultMemberUniqueName="[Sheet1  3].[Channel].[All]" allUniqueName="[Sheet1  3].[Channel].[All]" dimensionUniqueName="[Sheet1  3]" displayFolder="" count="2" memberValueDatatype="130" unbalanced="0"/>
    <cacheHierarchy uniqueName="[Sheet1  3].[Customer Type]" caption="Customer Type" attribute="1" defaultMemberUniqueName="[Sheet1  3].[Customer Type].[All]" allUniqueName="[Sheet1  3].[Customer Type].[All]" dimensionUniqueName="[Sheet1  3]" displayFolder="" count="2" memberValueDatatype="130" unbalanced="0"/>
    <cacheHierarchy uniqueName="[Sheet1  3].[Category]" caption="Category" attribute="1" defaultMemberUniqueName="[Sheet1  3].[Category].[All]" allUniqueName="[Sheet1  3].[Category].[All]" dimensionUniqueName="[Sheet1  3]" displayFolder="" count="2" memberValueDatatype="130" unbalanced="0"/>
    <cacheHierarchy uniqueName="[Sheet1  3].[Ad Spend]" caption="Ad Spend" attribute="1" defaultMemberUniqueName="[Sheet1  3].[Ad Spend].[All]" allUniqueName="[Sheet1  3].[Ad Spend].[All]" dimensionUniqueName="[Sheet1  3]" displayFolder="" count="2" memberValueDatatype="5" unbalanced="0"/>
    <cacheHierarchy uniqueName="[Sheet1  3].[Conversions]" caption="Conversions" attribute="1" defaultMemberUniqueName="[Sheet1  3].[Conversions].[All]" allUniqueName="[Sheet1  3].[Conversions].[All]" dimensionUniqueName="[Sheet1  3]" displayFolder="" count="2" memberValueDatatype="20" unbalanced="0"/>
    <cacheHierarchy uniqueName="[Sheet1  3].[Revenue]" caption="Revenue" attribute="1" defaultMemberUniqueName="[Sheet1  3].[Revenue].[All]" allUniqueName="[Sheet1  3].[Revenue].[All]" dimensionUniqueName="[Sheet1  3]" displayFolder="" count="2" memberValueDatatype="5" unbalanced="0"/>
    <cacheHierarchy uniqueName="[Sheet1  3].[Returns]" caption="Returns" attribute="1" defaultMemberUniqueName="[Sheet1  3].[Returns].[All]" allUniqueName="[Sheet1  3].[Returns].[All]" dimensionUniqueName="[Sheet1  3]" displayFolder="" count="2" memberValueDatatype="20" unbalanced="0"/>
    <cacheHierarchy uniqueName="[Sheet1  3].[Profit]" caption="Profit" attribute="1" defaultMemberUniqueName="[Sheet1  3].[Profit].[All]" allUniqueName="[Sheet1  3].[Profit].[All]" dimensionUniqueName="[Sheet1  3]" displayFolder="" count="2" memberValueDatatype="5" unbalanced="0"/>
    <cacheHierarchy uniqueName="[Sheet1  3].[Date (Month)]" caption="Date (Month)" attribute="1" defaultMemberUniqueName="[Sheet1  3].[Date (Month)].[All]" allUniqueName="[Sheet1  3].[Date (Month)].[All]" dimensionUniqueName="[Sheet1  3]" displayFolder="" count="2" memberValueDatatype="130" unbalanced="0"/>
    <cacheHierarchy uniqueName="[Sheet1].[Date (Month Index)]" caption="Date (Month Index)" attribute="1" defaultMemberUniqueName="[Sheet1].[Date (Month Index)].[All]" allUniqueName="[Sheet1].[Date (Month Index)].[All]" dimensionUniqueName="[Sheet1]" displayFolder="" count="2" memberValueDatatype="20" unbalanced="0" hidden="1"/>
    <cacheHierarchy uniqueName="[Sheet1  3].[Date (Month Index)]" caption="Date (Month Index)" attribute="1" defaultMemberUniqueName="[Sheet1  3].[Date (Month Index)].[All]" allUniqueName="[Sheet1  3].[Date (Month Index)].[All]" dimensionUniqueName="[Sheet1  3]" displayFolder="" count="2" memberValueDatatype="20" unbalanced="0" hidden="1"/>
    <cacheHierarchy uniqueName="[Measures].[__XL_Count Sheet1  3]" caption="__XL_Count Sheet1  3" measure="1" displayFolder="" measureGroup="Sheet1  3" count="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Profit]" caption="Sum of Profit" measure="1" displayFolder="" measureGroup="Sheet1  3" count="0" hidden="1">
      <extLst>
        <ext xmlns:x15="http://schemas.microsoft.com/office/spreadsheetml/2010/11/main" uri="{B97F6D7D-B522-45F9-BDA1-12C45D357490}">
          <x15:cacheHierarchy aggregatedColumn="22"/>
        </ext>
      </extLst>
    </cacheHierarchy>
    <cacheHierarchy uniqueName="[Measures].[Sum of Ad Spend]" caption="Sum of Ad Spend" measure="1" displayFolder="" measureGroup="Sheet1" count="0" hidden="1">
      <extLst>
        <ext xmlns:x15="http://schemas.microsoft.com/office/spreadsheetml/2010/11/main" uri="{B97F6D7D-B522-45F9-BDA1-12C45D357490}">
          <x15:cacheHierarchy aggregatedColumn="6"/>
        </ext>
      </extLst>
    </cacheHierarchy>
    <cacheHierarchy uniqueName="[Measures].[Sum of Returns]" caption="Sum of Returns" measure="1" displayFolder="" measureGroup="Sheet1"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Revenue]" caption="Sum of Revenue" measure="1" displayFolder="" measureGroup="Sheet1" count="0" hidden="1">
      <extLst>
        <ext xmlns:x15="http://schemas.microsoft.com/office/spreadsheetml/2010/11/main" uri="{B97F6D7D-B522-45F9-BDA1-12C45D357490}">
          <x15:cacheHierarchy aggregatedColumn="8"/>
        </ext>
      </extLst>
    </cacheHierarchy>
    <cacheHierarchy uniqueName="[Measures].[Sum of Conversions]" caption="Sum of Conversions" measure="1" displayFolder="" measureGroup="Sheet1" count="0" hidden="1">
      <extLst>
        <ext xmlns:x15="http://schemas.microsoft.com/office/spreadsheetml/2010/11/main" uri="{B97F6D7D-B522-45F9-BDA1-12C45D357490}">
          <x15:cacheHierarchy aggregatedColumn="7"/>
        </ext>
      </extLst>
    </cacheHierarchy>
    <cacheHierarchy uniqueName="[Measures].[Sum of Profit 2]" caption="Sum of Profit 2" measure="1" displayFolder="" measureGroup="Sheet1" count="0" hidden="1">
      <extLst>
        <ext xmlns:x15="http://schemas.microsoft.com/office/spreadsheetml/2010/11/main" uri="{B97F6D7D-B522-45F9-BDA1-12C45D357490}">
          <x15:cacheHierarchy aggregatedColumn="10"/>
        </ext>
      </extLst>
    </cacheHierarchy>
  </cacheHierarchies>
  <kpis count="0"/>
  <dimensions count="3">
    <dimension measure="1" name="Measures" uniqueName="[Measures]" caption="Measures"/>
    <dimension name="Sheet1" uniqueName="[Sheet1]" caption="Sheet1"/>
    <dimension name="Sheet1  3" uniqueName="[Sheet1  3]" caption="Sheet1  3"/>
  </dimensions>
  <measureGroups count="2">
    <measureGroup name="Sheet1" caption="Sheet1"/>
    <measureGroup name="Sheet1  3" caption="Sheet1  3"/>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Hamdy Helwa" refreshedDate="46018.021484837962" backgroundQuery="1" createdVersion="8" refreshedVersion="8" minRefreshableVersion="3" recordCount="0" supportSubquery="1" supportAdvancedDrill="1" xr:uid="{E60F13E6-339D-4C01-98C5-BE1A8131E8C7}">
  <cacheSource type="external" connectionId="4"/>
  <cacheFields count="4">
    <cacheField name="[Sheet1  3].[Date].[Date]" caption="Date" numFmtId="0" hierarchy="12" level="1">
      <sharedItems containsSemiMixedTypes="0" containsNonDate="0" containsDate="1" containsString="0" minDate="2023-01-01T00:00:00" maxDate="2024-01-01T00:00:00" count="364">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sharedItems>
    </cacheField>
    <cacheField name="[Sheet1  3].[Date (Month)].[Date (Month)]" caption="Date (Month)" numFmtId="0" hierarchy="23" level="1">
      <sharedItems count="12">
        <s v="Jan"/>
        <s v="Feb"/>
        <s v="Mar"/>
        <s v="Apr"/>
        <s v="May"/>
        <s v="Jun"/>
        <s v="Jul"/>
        <s v="Aug"/>
        <s v="Sep"/>
        <s v="Oct"/>
        <s v="Nov"/>
        <s v="Dec"/>
      </sharedItems>
    </cacheField>
    <cacheField name="[Measures].[Sum of Profit]" caption="Sum of Profit" numFmtId="0" hierarchy="29" level="32767"/>
    <cacheField name="[Sheet1].[Season].[Season]" caption="Season" numFmtId="0" hierarchy="1" level="1">
      <sharedItems containsSemiMixedTypes="0" containsNonDate="0" containsString="0"/>
    </cacheField>
  </cacheFields>
  <cacheHierarchies count="35">
    <cacheHierarchy uniqueName="[Sheet1].[Date]" caption="Date" attribute="1" time="1" defaultMemberUniqueName="[Sheet1].[Date].[All]" allUniqueName="[Sheet1].[Date].[All]" dimensionUniqueName="[Sheet1]" displayFolder="" count="0" memberValueDatatype="7" unbalanced="0"/>
    <cacheHierarchy uniqueName="[Sheet1].[Season]" caption="Season" attribute="1" defaultMemberUniqueName="[Sheet1].[Season].[All]" allUniqueName="[Sheet1].[Season].[All]" dimensionUniqueName="[Sheet1]" displayFolder="" count="2" memberValueDatatype="130" unbalanced="0">
      <fieldsUsage count="2">
        <fieldUsage x="-1"/>
        <fieldUsage x="3"/>
      </fieldsUsage>
    </cacheHierarchy>
    <cacheHierarchy uniqueName="[Sheet1].[Time of Day]" caption="Time of Day" attribute="1" defaultMemberUniqueName="[Sheet1].[Time of Day].[All]" allUniqueName="[Sheet1].[Time of Day].[All]" dimensionUniqueName="[Sheet1]" displayFolder="" count="0" memberValueDatatype="130" unbalanced="0"/>
    <cacheHierarchy uniqueName="[Sheet1].[Channel]" caption="Channel" attribute="1" defaultMemberUniqueName="[Sheet1].[Channel].[All]" allUniqueName="[Sheet1].[Channel].[All]" dimensionUniqueName="[Sheet1]" displayFolder="" count="0" memberValueDatatype="130" unbalanced="0"/>
    <cacheHierarchy uniqueName="[Sheet1].[Customer Type]" caption="Customer Type" attribute="1" defaultMemberUniqueName="[Sheet1].[Customer Type].[All]" allUniqueName="[Sheet1].[Customer Type].[All]" dimensionUniqueName="[Sheet1]" displayFolder="" count="0" memberValueDatatype="130" unbalanced="0"/>
    <cacheHierarchy uniqueName="[Sheet1].[Category]" caption="Category" attribute="1" defaultMemberUniqueName="[Sheet1].[Category].[All]" allUniqueName="[Sheet1].[Category].[All]" dimensionUniqueName="[Sheet1]" displayFolder="" count="2" memberValueDatatype="130" unbalanced="0"/>
    <cacheHierarchy uniqueName="[Sheet1].[Ad Spend]" caption="Ad Spend" attribute="1" defaultMemberUniqueName="[Sheet1].[Ad Spend].[All]" allUniqueName="[Sheet1].[Ad Spend].[All]" dimensionUniqueName="[Sheet1]" displayFolder="" count="2" memberValueDatatype="5" unbalanced="0"/>
    <cacheHierarchy uniqueName="[Sheet1].[Conversions]" caption="Conversions" attribute="1" defaultMemberUniqueName="[Sheet1].[Conversions].[All]" allUniqueName="[Sheet1].[Conversions].[All]" dimensionUniqueName="[Sheet1]" displayFolder="" count="0" memberValueDatatype="20" unbalanced="0"/>
    <cacheHierarchy uniqueName="[Sheet1].[Revenue]" caption="Revenue" attribute="1" defaultMemberUniqueName="[Sheet1].[Revenue].[All]" allUniqueName="[Sheet1].[Revenue].[All]" dimensionUniqueName="[Sheet1]" displayFolder="" count="0" memberValueDatatype="5" unbalanced="0"/>
    <cacheHierarchy uniqueName="[Sheet1].[Returns]" caption="Returns" attribute="1" defaultMemberUniqueName="[Sheet1].[Returns].[All]" allUniqueName="[Sheet1].[Returns].[All]" dimensionUniqueName="[Sheet1]" displayFolder="" count="0" memberValueDatatype="20" unbalanced="0"/>
    <cacheHierarchy uniqueName="[Sheet1].[Profit]" caption="Profit" attribute="1" defaultMemberUniqueName="[Sheet1].[Profit].[All]" allUniqueName="[Sheet1].[Profit].[All]" dimensionUniqueName="[Sheet1]" displayFolder="" count="2" memberValueDatatype="5" unbalanced="0"/>
    <cacheHierarchy uniqueName="[Sheet1].[Date (Month)]" caption="Date (Month)" attribute="1" defaultMemberUniqueName="[Sheet1].[Date (Month)].[All]" allUniqueName="[Sheet1].[Date (Month)].[All]" dimensionUniqueName="[Sheet1]" displayFolder="" count="0" memberValueDatatype="130" unbalanced="0"/>
    <cacheHierarchy uniqueName="[Sheet1  3].[Date]" caption="Date" attribute="1" time="1" defaultMemberUniqueName="[Sheet1  3].[Date].[All]" allUniqueName="[Sheet1  3].[Date].[All]" dimensionUniqueName="[Sheet1  3]" displayFolder="" count="2" memberValueDatatype="7" unbalanced="0">
      <fieldsUsage count="2">
        <fieldUsage x="-1"/>
        <fieldUsage x="0"/>
      </fieldsUsage>
    </cacheHierarchy>
    <cacheHierarchy uniqueName="[Sheet1  3].[Season]" caption="Season" attribute="1" defaultMemberUniqueName="[Sheet1  3].[Season].[All]" allUniqueName="[Sheet1  3].[Season].[All]" dimensionUniqueName="[Sheet1  3]" displayFolder="" count="0" memberValueDatatype="130" unbalanced="0"/>
    <cacheHierarchy uniqueName="[Sheet1  3].[Time of Day]" caption="Time of Day" attribute="1" defaultMemberUniqueName="[Sheet1  3].[Time of Day].[All]" allUniqueName="[Sheet1  3].[Time of Day].[All]" dimensionUniqueName="[Sheet1  3]" displayFolder="" count="0" memberValueDatatype="130" unbalanced="0"/>
    <cacheHierarchy uniqueName="[Sheet1  3].[Channel]" caption="Channel" attribute="1" defaultMemberUniqueName="[Sheet1  3].[Channel].[All]" allUniqueName="[Sheet1  3].[Channel].[All]" dimensionUniqueName="[Sheet1  3]" displayFolder="" count="0" memberValueDatatype="130" unbalanced="0"/>
    <cacheHierarchy uniqueName="[Sheet1  3].[Customer Type]" caption="Customer Type" attribute="1" defaultMemberUniqueName="[Sheet1  3].[Customer Type].[All]" allUniqueName="[Sheet1  3].[Customer Type].[All]" dimensionUniqueName="[Sheet1  3]" displayFolder="" count="0" memberValueDatatype="130" unbalanced="0"/>
    <cacheHierarchy uniqueName="[Sheet1  3].[Category]" caption="Category" attribute="1" defaultMemberUniqueName="[Sheet1  3].[Category].[All]" allUniqueName="[Sheet1  3].[Category].[All]" dimensionUniqueName="[Sheet1  3]" displayFolder="" count="0" memberValueDatatype="130" unbalanced="0"/>
    <cacheHierarchy uniqueName="[Sheet1  3].[Ad Spend]" caption="Ad Spend" attribute="1" defaultMemberUniqueName="[Sheet1  3].[Ad Spend].[All]" allUniqueName="[Sheet1  3].[Ad Spend].[All]" dimensionUniqueName="[Sheet1  3]" displayFolder="" count="0" memberValueDatatype="5" unbalanced="0"/>
    <cacheHierarchy uniqueName="[Sheet1  3].[Conversions]" caption="Conversions" attribute="1" defaultMemberUniqueName="[Sheet1  3].[Conversions].[All]" allUniqueName="[Sheet1  3].[Conversions].[All]" dimensionUniqueName="[Sheet1  3]" displayFolder="" count="0" memberValueDatatype="20" unbalanced="0"/>
    <cacheHierarchy uniqueName="[Sheet1  3].[Revenue]" caption="Revenue" attribute="1" defaultMemberUniqueName="[Sheet1  3].[Revenue].[All]" allUniqueName="[Sheet1  3].[Revenue].[All]" dimensionUniqueName="[Sheet1  3]" displayFolder="" count="0" memberValueDatatype="5" unbalanced="0"/>
    <cacheHierarchy uniqueName="[Sheet1  3].[Returns]" caption="Returns" attribute="1" defaultMemberUniqueName="[Sheet1  3].[Returns].[All]" allUniqueName="[Sheet1  3].[Returns].[All]" dimensionUniqueName="[Sheet1  3]" displayFolder="" count="0" memberValueDatatype="20" unbalanced="0"/>
    <cacheHierarchy uniqueName="[Sheet1  3].[Profit]" caption="Profit" attribute="1" defaultMemberUniqueName="[Sheet1  3].[Profit].[All]" allUniqueName="[Sheet1  3].[Profit].[All]" dimensionUniqueName="[Sheet1  3]" displayFolder="" count="0" memberValueDatatype="5" unbalanced="0"/>
    <cacheHierarchy uniqueName="[Sheet1  3].[Date (Month)]" caption="Date (Month)" attribute="1" defaultMemberUniqueName="[Sheet1  3].[Date (Month)].[All]" allUniqueName="[Sheet1  3].[Date (Month)].[All]" dimensionUniqueName="[Sheet1  3]" displayFolder="" count="2" memberValueDatatype="130" unbalanced="0">
      <fieldsUsage count="2">
        <fieldUsage x="-1"/>
        <fieldUsage x="1"/>
      </fieldsUsage>
    </cacheHierarchy>
    <cacheHierarchy uniqueName="[Sheet1].[Date (Month Index)]" caption="Date (Month Index)" attribute="1" defaultMemberUniqueName="[Sheet1].[Date (Month Index)].[All]" allUniqueName="[Sheet1].[Date (Month Index)].[All]" dimensionUniqueName="[Sheet1]" displayFolder="" count="0" memberValueDatatype="20" unbalanced="0" hidden="1"/>
    <cacheHierarchy uniqueName="[Sheet1  3].[Date (Month Index)]" caption="Date (Month Index)" attribute="1" defaultMemberUniqueName="[Sheet1  3].[Date (Month Index)].[All]" allUniqueName="[Sheet1  3].[Date (Month Index)].[All]" dimensionUniqueName="[Sheet1  3]" displayFolder="" count="0" memberValueDatatype="20" unbalanced="0" hidden="1"/>
    <cacheHierarchy uniqueName="[Measures].[__XL_Count Sheet1  3]" caption="__XL_Count Sheet1  3" measure="1" displayFolder="" measureGroup="Sheet1  3" count="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Profit]" caption="Sum of Profit" measure="1" displayFolder="" measureGroup="Sheet1  3" count="0" oneField="1" hidden="1">
      <fieldsUsage count="1">
        <fieldUsage x="2"/>
      </fieldsUsage>
      <extLst>
        <ext xmlns:x15="http://schemas.microsoft.com/office/spreadsheetml/2010/11/main" uri="{B97F6D7D-B522-45F9-BDA1-12C45D357490}">
          <x15:cacheHierarchy aggregatedColumn="22"/>
        </ext>
      </extLst>
    </cacheHierarchy>
    <cacheHierarchy uniqueName="[Measures].[Sum of Ad Spend]" caption="Sum of Ad Spend" measure="1" displayFolder="" measureGroup="Sheet1" count="0" hidden="1">
      <extLst>
        <ext xmlns:x15="http://schemas.microsoft.com/office/spreadsheetml/2010/11/main" uri="{B97F6D7D-B522-45F9-BDA1-12C45D357490}">
          <x15:cacheHierarchy aggregatedColumn="6"/>
        </ext>
      </extLst>
    </cacheHierarchy>
    <cacheHierarchy uniqueName="[Measures].[Sum of Returns]" caption="Sum of Returns" measure="1" displayFolder="" measureGroup="Sheet1" count="0" hidden="1">
      <extLst>
        <ext xmlns:x15="http://schemas.microsoft.com/office/spreadsheetml/2010/11/main" uri="{B97F6D7D-B522-45F9-BDA1-12C45D357490}">
          <x15:cacheHierarchy aggregatedColumn="9"/>
        </ext>
      </extLst>
    </cacheHierarchy>
    <cacheHierarchy uniqueName="[Measures].[Sum of Revenue]" caption="Sum of Revenue" measure="1" displayFolder="" measureGroup="Sheet1" count="0" hidden="1">
      <extLst>
        <ext xmlns:x15="http://schemas.microsoft.com/office/spreadsheetml/2010/11/main" uri="{B97F6D7D-B522-45F9-BDA1-12C45D357490}">
          <x15:cacheHierarchy aggregatedColumn="8"/>
        </ext>
      </extLst>
    </cacheHierarchy>
    <cacheHierarchy uniqueName="[Measures].[Sum of Conversions]" caption="Sum of Conversions" measure="1" displayFolder="" measureGroup="Sheet1" count="0" hidden="1">
      <extLst>
        <ext xmlns:x15="http://schemas.microsoft.com/office/spreadsheetml/2010/11/main" uri="{B97F6D7D-B522-45F9-BDA1-12C45D357490}">
          <x15:cacheHierarchy aggregatedColumn="7"/>
        </ext>
      </extLst>
    </cacheHierarchy>
    <cacheHierarchy uniqueName="[Measures].[Sum of Profit 2]" caption="Sum of Profit 2" measure="1" displayFolder="" measureGroup="Sheet1" count="0" hidden="1">
      <extLst>
        <ext xmlns:x15="http://schemas.microsoft.com/office/spreadsheetml/2010/11/main" uri="{B97F6D7D-B522-45F9-BDA1-12C45D357490}">
          <x15:cacheHierarchy aggregatedColumn="10"/>
        </ext>
      </extLst>
    </cacheHierarchy>
  </cacheHierarchies>
  <kpis count="0"/>
  <dimensions count="3">
    <dimension measure="1" name="Measures" uniqueName="[Measures]" caption="Measures"/>
    <dimension name="Sheet1" uniqueName="[Sheet1]" caption="Sheet1"/>
    <dimension name="Sheet1  3" uniqueName="[Sheet1  3]" caption="Sheet1  3"/>
  </dimensions>
  <measureGroups count="2">
    <measureGroup name="Sheet1" caption="Sheet1"/>
    <measureGroup name="Sheet1  3" caption="Sheet1  3"/>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Hamdy Helwa" refreshedDate="46018.021485648147" backgroundQuery="1" createdVersion="8" refreshedVersion="8" minRefreshableVersion="3" recordCount="0" supportSubquery="1" supportAdvancedDrill="1" xr:uid="{2137E859-F071-42CF-A072-6C95FE5548E6}">
  <cacheSource type="external" connectionId="4"/>
  <cacheFields count="4">
    <cacheField name="[Sheet1].[Date].[Date]" caption="Date" numFmtId="0" level="1">
      <sharedItems containsSemiMixedTypes="0" containsNonDate="0" containsDate="1" containsString="0" minDate="2023-01-01T00:00:00" maxDate="2024-01-01T00:00:00" count="364">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sharedItems>
    </cacheField>
    <cacheField name="[Sheet1].[Date (Month)].[Date (Month)]" caption="Date (Month)" numFmtId="0" hierarchy="11" level="1">
      <sharedItems count="12">
        <s v="Jan"/>
        <s v="Feb"/>
        <s v="Mar"/>
        <s v="Apr"/>
        <s v="May"/>
        <s v="Jun"/>
        <s v="Jul"/>
        <s v="Aug"/>
        <s v="Sep"/>
        <s v="Oct"/>
        <s v="Nov"/>
        <s v="Dec"/>
      </sharedItems>
    </cacheField>
    <cacheField name="[Measures].[Sum of Ad Spend]" caption="Sum of Ad Spend" numFmtId="0" hierarchy="30" level="32767"/>
    <cacheField name="[Sheet1].[Season].[Season]" caption="Season" numFmtId="0" hierarchy="1" level="1">
      <sharedItems containsSemiMixedTypes="0" containsNonDate="0" containsString="0"/>
    </cacheField>
  </cacheFields>
  <cacheHierarchies count="35">
    <cacheHierarchy uniqueName="[Sheet1].[Date]" caption="Date" attribute="1" time="1" defaultMemberUniqueName="[Sheet1].[Date].[All]" allUniqueName="[Sheet1].[Date].[All]" dimensionUniqueName="[Sheet1]" displayFolder="" count="2" memberValueDatatype="7" unbalanced="0">
      <fieldsUsage count="2">
        <fieldUsage x="-1"/>
        <fieldUsage x="0"/>
      </fieldsUsage>
    </cacheHierarchy>
    <cacheHierarchy uniqueName="[Sheet1].[Season]" caption="Season" attribute="1" defaultMemberUniqueName="[Sheet1].[Season].[All]" allUniqueName="[Sheet1].[Season].[All]" dimensionUniqueName="[Sheet1]" displayFolder="" count="2" memberValueDatatype="130" unbalanced="0">
      <fieldsUsage count="2">
        <fieldUsage x="-1"/>
        <fieldUsage x="3"/>
      </fieldsUsage>
    </cacheHierarchy>
    <cacheHierarchy uniqueName="[Sheet1].[Time of Day]" caption="Time of Day" attribute="1" defaultMemberUniqueName="[Sheet1].[Time of Day].[All]" allUniqueName="[Sheet1].[Time of Day].[All]" dimensionUniqueName="[Sheet1]" displayFolder="" count="0" memberValueDatatype="130" unbalanced="0"/>
    <cacheHierarchy uniqueName="[Sheet1].[Channel]" caption="Channel" attribute="1" defaultMemberUniqueName="[Sheet1].[Channel].[All]" allUniqueName="[Sheet1].[Channel].[All]" dimensionUniqueName="[Sheet1]" displayFolder="" count="0" memberValueDatatype="130" unbalanced="0"/>
    <cacheHierarchy uniqueName="[Sheet1].[Customer Type]" caption="Customer Type" attribute="1" defaultMemberUniqueName="[Sheet1].[Customer Type].[All]" allUniqueName="[Sheet1].[Customer Type].[All]" dimensionUniqueName="[Sheet1]" displayFolder="" count="0" memberValueDatatype="130" unbalanced="0"/>
    <cacheHierarchy uniqueName="[Sheet1].[Category]" caption="Category" attribute="1" defaultMemberUniqueName="[Sheet1].[Category].[All]" allUniqueName="[Sheet1].[Category].[All]" dimensionUniqueName="[Sheet1]" displayFolder="" count="2" memberValueDatatype="130" unbalanced="0"/>
    <cacheHierarchy uniqueName="[Sheet1].[Ad Spend]" caption="Ad Spend" attribute="1" defaultMemberUniqueName="[Sheet1].[Ad Spend].[All]" allUniqueName="[Sheet1].[Ad Spend].[All]" dimensionUniqueName="[Sheet1]" displayFolder="" count="2" memberValueDatatype="5" unbalanced="0"/>
    <cacheHierarchy uniqueName="[Sheet1].[Conversions]" caption="Conversions" attribute="1" defaultMemberUniqueName="[Sheet1].[Conversions].[All]" allUniqueName="[Sheet1].[Conversions].[All]" dimensionUniqueName="[Sheet1]" displayFolder="" count="0" memberValueDatatype="20" unbalanced="0"/>
    <cacheHierarchy uniqueName="[Sheet1].[Revenue]" caption="Revenue" attribute="1" defaultMemberUniqueName="[Sheet1].[Revenue].[All]" allUniqueName="[Sheet1].[Revenue].[All]" dimensionUniqueName="[Sheet1]" displayFolder="" count="0" memberValueDatatype="5" unbalanced="0"/>
    <cacheHierarchy uniqueName="[Sheet1].[Returns]" caption="Returns" attribute="1" defaultMemberUniqueName="[Sheet1].[Returns].[All]" allUniqueName="[Sheet1].[Returns].[All]" dimensionUniqueName="[Sheet1]" displayFolder="" count="0" memberValueDatatype="20" unbalanced="0"/>
    <cacheHierarchy uniqueName="[Sheet1].[Profit]" caption="Profit" attribute="1" defaultMemberUniqueName="[Sheet1].[Profit].[All]" allUniqueName="[Sheet1].[Profit].[All]" dimensionUniqueName="[Sheet1]" displayFolder="" count="2" memberValueDatatype="5" unbalanced="0"/>
    <cacheHierarchy uniqueName="[Sheet1].[Date (Month)]" caption="Date (Month)" attribute="1" defaultMemberUniqueName="[Sheet1].[Date (Month)].[All]" allUniqueName="[Sheet1].[Date (Month)].[All]" dimensionUniqueName="[Sheet1]" displayFolder="" count="2" memberValueDatatype="130" unbalanced="0">
      <fieldsUsage count="2">
        <fieldUsage x="-1"/>
        <fieldUsage x="1"/>
      </fieldsUsage>
    </cacheHierarchy>
    <cacheHierarchy uniqueName="[Sheet1  3].[Date]" caption="Date" attribute="1" time="1" defaultMemberUniqueName="[Sheet1  3].[Date].[All]" allUniqueName="[Sheet1  3].[Date].[All]" dimensionUniqueName="[Sheet1  3]" displayFolder="" count="0" memberValueDatatype="7" unbalanced="0"/>
    <cacheHierarchy uniqueName="[Sheet1  3].[Season]" caption="Season" attribute="1" defaultMemberUniqueName="[Sheet1  3].[Season].[All]" allUniqueName="[Sheet1  3].[Season].[All]" dimensionUniqueName="[Sheet1  3]" displayFolder="" count="0" memberValueDatatype="130" unbalanced="0"/>
    <cacheHierarchy uniqueName="[Sheet1  3].[Time of Day]" caption="Time of Day" attribute="1" defaultMemberUniqueName="[Sheet1  3].[Time of Day].[All]" allUniqueName="[Sheet1  3].[Time of Day].[All]" dimensionUniqueName="[Sheet1  3]" displayFolder="" count="0" memberValueDatatype="130" unbalanced="0"/>
    <cacheHierarchy uniqueName="[Sheet1  3].[Channel]" caption="Channel" attribute="1" defaultMemberUniqueName="[Sheet1  3].[Channel].[All]" allUniqueName="[Sheet1  3].[Channel].[All]" dimensionUniqueName="[Sheet1  3]" displayFolder="" count="0" memberValueDatatype="130" unbalanced="0"/>
    <cacheHierarchy uniqueName="[Sheet1  3].[Customer Type]" caption="Customer Type" attribute="1" defaultMemberUniqueName="[Sheet1  3].[Customer Type].[All]" allUniqueName="[Sheet1  3].[Customer Type].[All]" dimensionUniqueName="[Sheet1  3]" displayFolder="" count="0" memberValueDatatype="130" unbalanced="0"/>
    <cacheHierarchy uniqueName="[Sheet1  3].[Category]" caption="Category" attribute="1" defaultMemberUniqueName="[Sheet1  3].[Category].[All]" allUniqueName="[Sheet1  3].[Category].[All]" dimensionUniqueName="[Sheet1  3]" displayFolder="" count="0" memberValueDatatype="130" unbalanced="0"/>
    <cacheHierarchy uniqueName="[Sheet1  3].[Ad Spend]" caption="Ad Spend" attribute="1" defaultMemberUniqueName="[Sheet1  3].[Ad Spend].[All]" allUniqueName="[Sheet1  3].[Ad Spend].[All]" dimensionUniqueName="[Sheet1  3]" displayFolder="" count="0" memberValueDatatype="5" unbalanced="0"/>
    <cacheHierarchy uniqueName="[Sheet1  3].[Conversions]" caption="Conversions" attribute="1" defaultMemberUniqueName="[Sheet1  3].[Conversions].[All]" allUniqueName="[Sheet1  3].[Conversions].[All]" dimensionUniqueName="[Sheet1  3]" displayFolder="" count="0" memberValueDatatype="20" unbalanced="0"/>
    <cacheHierarchy uniqueName="[Sheet1  3].[Revenue]" caption="Revenue" attribute="1" defaultMemberUniqueName="[Sheet1  3].[Revenue].[All]" allUniqueName="[Sheet1  3].[Revenue].[All]" dimensionUniqueName="[Sheet1  3]" displayFolder="" count="0" memberValueDatatype="5" unbalanced="0"/>
    <cacheHierarchy uniqueName="[Sheet1  3].[Returns]" caption="Returns" attribute="1" defaultMemberUniqueName="[Sheet1  3].[Returns].[All]" allUniqueName="[Sheet1  3].[Returns].[All]" dimensionUniqueName="[Sheet1  3]" displayFolder="" count="0" memberValueDatatype="20" unbalanced="0"/>
    <cacheHierarchy uniqueName="[Sheet1  3].[Profit]" caption="Profit" attribute="1" defaultMemberUniqueName="[Sheet1  3].[Profit].[All]" allUniqueName="[Sheet1  3].[Profit].[All]" dimensionUniqueName="[Sheet1  3]" displayFolder="" count="0" memberValueDatatype="5" unbalanced="0"/>
    <cacheHierarchy uniqueName="[Sheet1  3].[Date (Month)]" caption="Date (Month)" attribute="1" defaultMemberUniqueName="[Sheet1  3].[Date (Month)].[All]" allUniqueName="[Sheet1  3].[Date (Month)].[All]" dimensionUniqueName="[Sheet1  3]" displayFolder="" count="0" memberValueDatatype="130" unbalanced="0"/>
    <cacheHierarchy uniqueName="[Sheet1].[Date (Month Index)]" caption="Date (Month Index)" attribute="1" defaultMemberUniqueName="[Sheet1].[Date (Month Index)].[All]" allUniqueName="[Sheet1].[Date (Month Index)].[All]" dimensionUniqueName="[Sheet1]" displayFolder="" count="0" memberValueDatatype="20" unbalanced="0" hidden="1"/>
    <cacheHierarchy uniqueName="[Sheet1  3].[Date (Month Index)]" caption="Date (Month Index)" attribute="1" defaultMemberUniqueName="[Sheet1  3].[Date (Month Index)].[All]" allUniqueName="[Sheet1  3].[Date (Month Index)].[All]" dimensionUniqueName="[Sheet1  3]" displayFolder="" count="0" memberValueDatatype="20" unbalanced="0" hidden="1"/>
    <cacheHierarchy uniqueName="[Measures].[__XL_Count Sheet1  3]" caption="__XL_Count Sheet1  3" measure="1" displayFolder="" measureGroup="Sheet1  3" count="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Profit]" caption="Sum of Profit" measure="1" displayFolder="" measureGroup="Sheet1  3" count="0" hidden="1">
      <extLst>
        <ext xmlns:x15="http://schemas.microsoft.com/office/spreadsheetml/2010/11/main" uri="{B97F6D7D-B522-45F9-BDA1-12C45D357490}">
          <x15:cacheHierarchy aggregatedColumn="22"/>
        </ext>
      </extLst>
    </cacheHierarchy>
    <cacheHierarchy uniqueName="[Measures].[Sum of Ad Spend]" caption="Sum of Ad Spend" measure="1" displayFolder="" measureGroup="Sheet1" count="0" oneField="1" hidden="1">
      <fieldsUsage count="1">
        <fieldUsage x="2"/>
      </fieldsUsage>
      <extLst>
        <ext xmlns:x15="http://schemas.microsoft.com/office/spreadsheetml/2010/11/main" uri="{B97F6D7D-B522-45F9-BDA1-12C45D357490}">
          <x15:cacheHierarchy aggregatedColumn="6"/>
        </ext>
      </extLst>
    </cacheHierarchy>
    <cacheHierarchy uniqueName="[Measures].[Sum of Returns]" caption="Sum of Returns" measure="1" displayFolder="" measureGroup="Sheet1" count="0" hidden="1">
      <extLst>
        <ext xmlns:x15="http://schemas.microsoft.com/office/spreadsheetml/2010/11/main" uri="{B97F6D7D-B522-45F9-BDA1-12C45D357490}">
          <x15:cacheHierarchy aggregatedColumn="9"/>
        </ext>
      </extLst>
    </cacheHierarchy>
    <cacheHierarchy uniqueName="[Measures].[Sum of Revenue]" caption="Sum of Revenue" measure="1" displayFolder="" measureGroup="Sheet1" count="0" hidden="1">
      <extLst>
        <ext xmlns:x15="http://schemas.microsoft.com/office/spreadsheetml/2010/11/main" uri="{B97F6D7D-B522-45F9-BDA1-12C45D357490}">
          <x15:cacheHierarchy aggregatedColumn="8"/>
        </ext>
      </extLst>
    </cacheHierarchy>
    <cacheHierarchy uniqueName="[Measures].[Sum of Conversions]" caption="Sum of Conversions" measure="1" displayFolder="" measureGroup="Sheet1" count="0" hidden="1">
      <extLst>
        <ext xmlns:x15="http://schemas.microsoft.com/office/spreadsheetml/2010/11/main" uri="{B97F6D7D-B522-45F9-BDA1-12C45D357490}">
          <x15:cacheHierarchy aggregatedColumn="7"/>
        </ext>
      </extLst>
    </cacheHierarchy>
    <cacheHierarchy uniqueName="[Measures].[Sum of Profit 2]" caption="Sum of Profit 2" measure="1" displayFolder="" measureGroup="Sheet1" count="0" hidden="1">
      <extLst>
        <ext xmlns:x15="http://schemas.microsoft.com/office/spreadsheetml/2010/11/main" uri="{B97F6D7D-B522-45F9-BDA1-12C45D357490}">
          <x15:cacheHierarchy aggregatedColumn="10"/>
        </ext>
      </extLst>
    </cacheHierarchy>
  </cacheHierarchies>
  <kpis count="0"/>
  <dimensions count="3">
    <dimension measure="1" name="Measures" uniqueName="[Measures]" caption="Measures"/>
    <dimension name="Sheet1" uniqueName="[Sheet1]" caption="Sheet1"/>
    <dimension name="Sheet1  3" uniqueName="[Sheet1  3]" caption="Sheet1  3"/>
  </dimensions>
  <measureGroups count="2">
    <measureGroup name="Sheet1" caption="Sheet1"/>
    <measureGroup name="Sheet1  3" caption="Sheet1  3"/>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Hamdy Helwa" refreshedDate="46018.021486111109" backgroundQuery="1" createdVersion="8" refreshedVersion="8" minRefreshableVersion="3" recordCount="0" supportSubquery="1" supportAdvancedDrill="1" xr:uid="{60B00609-7243-420B-9CBA-0518B7EA4BC3}">
  <cacheSource type="external" connectionId="4"/>
  <cacheFields count="3">
    <cacheField name="[Measures].[Sum of Ad Spend]" caption="Sum of Ad Spend" numFmtId="0" hierarchy="30" level="32767"/>
    <cacheField name="[Sheet1].[Channel].[Channel]" caption="Channel" numFmtId="0" hierarchy="3" level="1">
      <sharedItems count="5">
        <s v="Email"/>
        <s v="Facebook"/>
        <s v="Flyers"/>
        <s v="Google Ads"/>
        <s v="Instagram"/>
      </sharedItems>
    </cacheField>
    <cacheField name="[Sheet1].[Season].[Season]" caption="Season" numFmtId="0" hierarchy="1" level="1">
      <sharedItems containsSemiMixedTypes="0" containsNonDate="0" containsString="0"/>
    </cacheField>
  </cacheFields>
  <cacheHierarchies count="35">
    <cacheHierarchy uniqueName="[Sheet1].[Date]" caption="Date" attribute="1" time="1" defaultMemberUniqueName="[Sheet1].[Date].[All]" allUniqueName="[Sheet1].[Date].[All]" dimensionUniqueName="[Sheet1]" displayFolder="" count="2" memberValueDatatype="7" unbalanced="0"/>
    <cacheHierarchy uniqueName="[Sheet1].[Season]" caption="Season" attribute="1" defaultMemberUniqueName="[Sheet1].[Season].[All]" allUniqueName="[Sheet1].[Season].[All]" dimensionUniqueName="[Sheet1]" displayFolder="" count="2" memberValueDatatype="130" unbalanced="0">
      <fieldsUsage count="2">
        <fieldUsage x="-1"/>
        <fieldUsage x="2"/>
      </fieldsUsage>
    </cacheHierarchy>
    <cacheHierarchy uniqueName="[Sheet1].[Time of Day]" caption="Time of Day" attribute="1" defaultMemberUniqueName="[Sheet1].[Time of Day].[All]" allUniqueName="[Sheet1].[Time of Day].[All]" dimensionUniqueName="[Sheet1]" displayFolder="" count="2" memberValueDatatype="130" unbalanced="0"/>
    <cacheHierarchy uniqueName="[Sheet1].[Channel]" caption="Channel" attribute="1" defaultMemberUniqueName="[Sheet1].[Channel].[All]" allUniqueName="[Sheet1].[Channel].[All]" dimensionUniqueName="[Sheet1]" displayFolder="" count="2" memberValueDatatype="130" unbalanced="0">
      <fieldsUsage count="2">
        <fieldUsage x="-1"/>
        <fieldUsage x="1"/>
      </fieldsUsage>
    </cacheHierarchy>
    <cacheHierarchy uniqueName="[Sheet1].[Customer Type]" caption="Customer Type" attribute="1" defaultMemberUniqueName="[Sheet1].[Customer Type].[All]" allUniqueName="[Sheet1].[Customer Type].[All]" dimensionUniqueName="[Sheet1]" displayFolder="" count="2" memberValueDatatype="130" unbalanced="0"/>
    <cacheHierarchy uniqueName="[Sheet1].[Category]" caption="Category" attribute="1" defaultMemberUniqueName="[Sheet1].[Category].[All]" allUniqueName="[Sheet1].[Category].[All]" dimensionUniqueName="[Sheet1]" displayFolder="" count="2" memberValueDatatype="130" unbalanced="0"/>
    <cacheHierarchy uniqueName="[Sheet1].[Ad Spend]" caption="Ad Spend" attribute="1" defaultMemberUniqueName="[Sheet1].[Ad Spend].[All]" allUniqueName="[Sheet1].[Ad Spend].[All]" dimensionUniqueName="[Sheet1]" displayFolder="" count="2" memberValueDatatype="5" unbalanced="0"/>
    <cacheHierarchy uniqueName="[Sheet1].[Conversions]" caption="Conversions" attribute="1" defaultMemberUniqueName="[Sheet1].[Conversions].[All]" allUniqueName="[Sheet1].[Conversions].[All]" dimensionUniqueName="[Sheet1]" displayFolder="" count="2" memberValueDatatype="20" unbalanced="0"/>
    <cacheHierarchy uniqueName="[Sheet1].[Revenue]" caption="Revenue" attribute="1" defaultMemberUniqueName="[Sheet1].[Revenue].[All]" allUniqueName="[Sheet1].[Revenue].[All]" dimensionUniqueName="[Sheet1]" displayFolder="" count="2" memberValueDatatype="5" unbalanced="0"/>
    <cacheHierarchy uniqueName="[Sheet1].[Returns]" caption="Returns" attribute="1" defaultMemberUniqueName="[Sheet1].[Returns].[All]" allUniqueName="[Sheet1].[Returns].[All]" dimensionUniqueName="[Sheet1]" displayFolder="" count="2" memberValueDatatype="20" unbalanced="0"/>
    <cacheHierarchy uniqueName="[Sheet1].[Profit]" caption="Profit" attribute="1" defaultMemberUniqueName="[Sheet1].[Profit].[All]" allUniqueName="[Sheet1].[Profit].[All]" dimensionUniqueName="[Sheet1]" displayFolder="" count="2" memberValueDatatype="5" unbalanced="0"/>
    <cacheHierarchy uniqueName="[Sheet1].[Date (Month)]" caption="Date (Month)" attribute="1" defaultMemberUniqueName="[Sheet1].[Date (Month)].[All]" allUniqueName="[Sheet1].[Date (Month)].[All]" dimensionUniqueName="[Sheet1]" displayFolder="" count="2" memberValueDatatype="130" unbalanced="0"/>
    <cacheHierarchy uniqueName="[Sheet1  3].[Date]" caption="Date" attribute="1" time="1" defaultMemberUniqueName="[Sheet1  3].[Date].[All]" allUniqueName="[Sheet1  3].[Date].[All]" dimensionUniqueName="[Sheet1  3]" displayFolder="" count="2" memberValueDatatype="7" unbalanced="0"/>
    <cacheHierarchy uniqueName="[Sheet1  3].[Season]" caption="Season" attribute="1" defaultMemberUniqueName="[Sheet1  3].[Season].[All]" allUniqueName="[Sheet1  3].[Season].[All]" dimensionUniqueName="[Sheet1  3]" displayFolder="" count="2" memberValueDatatype="130" unbalanced="0"/>
    <cacheHierarchy uniqueName="[Sheet1  3].[Time of Day]" caption="Time of Day" attribute="1" defaultMemberUniqueName="[Sheet1  3].[Time of Day].[All]" allUniqueName="[Sheet1  3].[Time of Day].[All]" dimensionUniqueName="[Sheet1  3]" displayFolder="" count="2" memberValueDatatype="130" unbalanced="0"/>
    <cacheHierarchy uniqueName="[Sheet1  3].[Channel]" caption="Channel" attribute="1" defaultMemberUniqueName="[Sheet1  3].[Channel].[All]" allUniqueName="[Sheet1  3].[Channel].[All]" dimensionUniqueName="[Sheet1  3]" displayFolder="" count="2" memberValueDatatype="130" unbalanced="0"/>
    <cacheHierarchy uniqueName="[Sheet1  3].[Customer Type]" caption="Customer Type" attribute="1" defaultMemberUniqueName="[Sheet1  3].[Customer Type].[All]" allUniqueName="[Sheet1  3].[Customer Type].[All]" dimensionUniqueName="[Sheet1  3]" displayFolder="" count="2" memberValueDatatype="130" unbalanced="0"/>
    <cacheHierarchy uniqueName="[Sheet1  3].[Category]" caption="Category" attribute="1" defaultMemberUniqueName="[Sheet1  3].[Category].[All]" allUniqueName="[Sheet1  3].[Category].[All]" dimensionUniqueName="[Sheet1  3]" displayFolder="" count="2" memberValueDatatype="130" unbalanced="0"/>
    <cacheHierarchy uniqueName="[Sheet1  3].[Ad Spend]" caption="Ad Spend" attribute="1" defaultMemberUniqueName="[Sheet1  3].[Ad Spend].[All]" allUniqueName="[Sheet1  3].[Ad Spend].[All]" dimensionUniqueName="[Sheet1  3]" displayFolder="" count="2" memberValueDatatype="5" unbalanced="0"/>
    <cacheHierarchy uniqueName="[Sheet1  3].[Conversions]" caption="Conversions" attribute="1" defaultMemberUniqueName="[Sheet1  3].[Conversions].[All]" allUniqueName="[Sheet1  3].[Conversions].[All]" dimensionUniqueName="[Sheet1  3]" displayFolder="" count="2" memberValueDatatype="20" unbalanced="0"/>
    <cacheHierarchy uniqueName="[Sheet1  3].[Revenue]" caption="Revenue" attribute="1" defaultMemberUniqueName="[Sheet1  3].[Revenue].[All]" allUniqueName="[Sheet1  3].[Revenue].[All]" dimensionUniqueName="[Sheet1  3]" displayFolder="" count="2" memberValueDatatype="5" unbalanced="0"/>
    <cacheHierarchy uniqueName="[Sheet1  3].[Returns]" caption="Returns" attribute="1" defaultMemberUniqueName="[Sheet1  3].[Returns].[All]" allUniqueName="[Sheet1  3].[Returns].[All]" dimensionUniqueName="[Sheet1  3]" displayFolder="" count="2" memberValueDatatype="20" unbalanced="0"/>
    <cacheHierarchy uniqueName="[Sheet1  3].[Profit]" caption="Profit" attribute="1" defaultMemberUniqueName="[Sheet1  3].[Profit].[All]" allUniqueName="[Sheet1  3].[Profit].[All]" dimensionUniqueName="[Sheet1  3]" displayFolder="" count="2" memberValueDatatype="5" unbalanced="0"/>
    <cacheHierarchy uniqueName="[Sheet1  3].[Date (Month)]" caption="Date (Month)" attribute="1" defaultMemberUniqueName="[Sheet1  3].[Date (Month)].[All]" allUniqueName="[Sheet1  3].[Date (Month)].[All]" dimensionUniqueName="[Sheet1  3]" displayFolder="" count="2" memberValueDatatype="130" unbalanced="0"/>
    <cacheHierarchy uniqueName="[Sheet1].[Date (Month Index)]" caption="Date (Month Index)" attribute="1" defaultMemberUniqueName="[Sheet1].[Date (Month Index)].[All]" allUniqueName="[Sheet1].[Date (Month Index)].[All]" dimensionUniqueName="[Sheet1]" displayFolder="" count="2" memberValueDatatype="20" unbalanced="0" hidden="1"/>
    <cacheHierarchy uniqueName="[Sheet1  3].[Date (Month Index)]" caption="Date (Month Index)" attribute="1" defaultMemberUniqueName="[Sheet1  3].[Date (Month Index)].[All]" allUniqueName="[Sheet1  3].[Date (Month Index)].[All]" dimensionUniqueName="[Sheet1  3]" displayFolder="" count="2" memberValueDatatype="20" unbalanced="0" hidden="1"/>
    <cacheHierarchy uniqueName="[Measures].[__XL_Count Sheet1  3]" caption="__XL_Count Sheet1  3" measure="1" displayFolder="" measureGroup="Sheet1  3" count="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Profit]" caption="Sum of Profit" measure="1" displayFolder="" measureGroup="Sheet1  3" count="0" hidden="1">
      <extLst>
        <ext xmlns:x15="http://schemas.microsoft.com/office/spreadsheetml/2010/11/main" uri="{B97F6D7D-B522-45F9-BDA1-12C45D357490}">
          <x15:cacheHierarchy aggregatedColumn="22"/>
        </ext>
      </extLst>
    </cacheHierarchy>
    <cacheHierarchy uniqueName="[Measures].[Sum of Ad Spend]" caption="Sum of Ad Spend" measure="1" displayFolder="" measureGroup="Sheet1" count="0" oneField="1" hidden="1">
      <fieldsUsage count="1">
        <fieldUsage x="0"/>
      </fieldsUsage>
      <extLst>
        <ext xmlns:x15="http://schemas.microsoft.com/office/spreadsheetml/2010/11/main" uri="{B97F6D7D-B522-45F9-BDA1-12C45D357490}">
          <x15:cacheHierarchy aggregatedColumn="6"/>
        </ext>
      </extLst>
    </cacheHierarchy>
    <cacheHierarchy uniqueName="[Measures].[Sum of Returns]" caption="Sum of Returns" measure="1" displayFolder="" measureGroup="Sheet1" count="0" hidden="1">
      <extLst>
        <ext xmlns:x15="http://schemas.microsoft.com/office/spreadsheetml/2010/11/main" uri="{B97F6D7D-B522-45F9-BDA1-12C45D357490}">
          <x15:cacheHierarchy aggregatedColumn="9"/>
        </ext>
      </extLst>
    </cacheHierarchy>
    <cacheHierarchy uniqueName="[Measures].[Sum of Revenue]" caption="Sum of Revenue" measure="1" displayFolder="" measureGroup="Sheet1" count="0" hidden="1">
      <extLst>
        <ext xmlns:x15="http://schemas.microsoft.com/office/spreadsheetml/2010/11/main" uri="{B97F6D7D-B522-45F9-BDA1-12C45D357490}">
          <x15:cacheHierarchy aggregatedColumn="8"/>
        </ext>
      </extLst>
    </cacheHierarchy>
    <cacheHierarchy uniqueName="[Measures].[Sum of Conversions]" caption="Sum of Conversions" measure="1" displayFolder="" measureGroup="Sheet1" count="0" hidden="1">
      <extLst>
        <ext xmlns:x15="http://schemas.microsoft.com/office/spreadsheetml/2010/11/main" uri="{B97F6D7D-B522-45F9-BDA1-12C45D357490}">
          <x15:cacheHierarchy aggregatedColumn="7"/>
        </ext>
      </extLst>
    </cacheHierarchy>
    <cacheHierarchy uniqueName="[Measures].[Sum of Profit 2]" caption="Sum of Profit 2" measure="1" displayFolder="" measureGroup="Sheet1" count="0" hidden="1">
      <extLst>
        <ext xmlns:x15="http://schemas.microsoft.com/office/spreadsheetml/2010/11/main" uri="{B97F6D7D-B522-45F9-BDA1-12C45D357490}">
          <x15:cacheHierarchy aggregatedColumn="10"/>
        </ext>
      </extLst>
    </cacheHierarchy>
  </cacheHierarchies>
  <kpis count="0"/>
  <dimensions count="3">
    <dimension measure="1" name="Measures" uniqueName="[Measures]" caption="Measures"/>
    <dimension name="Sheet1" uniqueName="[Sheet1]" caption="Sheet1"/>
    <dimension name="Sheet1  3" uniqueName="[Sheet1  3]" caption="Sheet1  3"/>
  </dimensions>
  <measureGroups count="2">
    <measureGroup name="Sheet1" caption="Sheet1"/>
    <measureGroup name="Sheet1  3" caption="Sheet1  3"/>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Hamdy Helwa" refreshedDate="46018.021486689817" backgroundQuery="1" createdVersion="8" refreshedVersion="8" minRefreshableVersion="3" recordCount="0" supportSubquery="1" supportAdvancedDrill="1" xr:uid="{12889DC8-8DAD-44B3-85DD-A9515D766273}">
  <cacheSource type="external" connectionId="4"/>
  <cacheFields count="3">
    <cacheField name="[Sheet1].[Time of Day].[Time of Day]" caption="Time of Day" numFmtId="0" hierarchy="2" level="1">
      <sharedItems count="4">
        <s v="Afternoon"/>
        <s v="Evening"/>
        <s v="Morning"/>
        <s v="Night"/>
      </sharedItems>
    </cacheField>
    <cacheField name="[Measures].[Sum of Conversions]" caption="Sum of Conversions" numFmtId="0" hierarchy="33" level="32767"/>
    <cacheField name="[Sheet1].[Season].[Season]" caption="Season" numFmtId="0" hierarchy="1" level="1">
      <sharedItems containsSemiMixedTypes="0" containsNonDate="0" containsString="0"/>
    </cacheField>
  </cacheFields>
  <cacheHierarchies count="35">
    <cacheHierarchy uniqueName="[Sheet1].[Date]" caption="Date" attribute="1" time="1" defaultMemberUniqueName="[Sheet1].[Date].[All]" allUniqueName="[Sheet1].[Date].[All]" dimensionUniqueName="[Sheet1]" displayFolder="" count="0" memberValueDatatype="7" unbalanced="0"/>
    <cacheHierarchy uniqueName="[Sheet1].[Season]" caption="Season" attribute="1" defaultMemberUniqueName="[Sheet1].[Season].[All]" allUniqueName="[Sheet1].[Season].[All]" dimensionUniqueName="[Sheet1]" displayFolder="" count="2" memberValueDatatype="130" unbalanced="0">
      <fieldsUsage count="2">
        <fieldUsage x="-1"/>
        <fieldUsage x="2"/>
      </fieldsUsage>
    </cacheHierarchy>
    <cacheHierarchy uniqueName="[Sheet1].[Time of Day]" caption="Time of Day" attribute="1" defaultMemberUniqueName="[Sheet1].[Time of Day].[All]" allUniqueName="[Sheet1].[Time of Day].[All]" dimensionUniqueName="[Sheet1]" displayFolder="" count="2" memberValueDatatype="130" unbalanced="0">
      <fieldsUsage count="2">
        <fieldUsage x="-1"/>
        <fieldUsage x="0"/>
      </fieldsUsage>
    </cacheHierarchy>
    <cacheHierarchy uniqueName="[Sheet1].[Channel]" caption="Channel" attribute="1" defaultMemberUniqueName="[Sheet1].[Channel].[All]" allUniqueName="[Sheet1].[Channel].[All]" dimensionUniqueName="[Sheet1]" displayFolder="" count="0" memberValueDatatype="130" unbalanced="0"/>
    <cacheHierarchy uniqueName="[Sheet1].[Customer Type]" caption="Customer Type" attribute="1" defaultMemberUniqueName="[Sheet1].[Customer Type].[All]" allUniqueName="[Sheet1].[Customer Type].[All]" dimensionUniqueName="[Sheet1]" displayFolder="" count="0" memberValueDatatype="130" unbalanced="0"/>
    <cacheHierarchy uniqueName="[Sheet1].[Category]" caption="Category" attribute="1" defaultMemberUniqueName="[Sheet1].[Category].[All]" allUniqueName="[Sheet1].[Category].[All]" dimensionUniqueName="[Sheet1]" displayFolder="" count="2" memberValueDatatype="130" unbalanced="0"/>
    <cacheHierarchy uniqueName="[Sheet1].[Ad Spend]" caption="Ad Spend" attribute="1" defaultMemberUniqueName="[Sheet1].[Ad Spend].[All]" allUniqueName="[Sheet1].[Ad Spend].[All]" dimensionUniqueName="[Sheet1]" displayFolder="" count="2" memberValueDatatype="5" unbalanced="0"/>
    <cacheHierarchy uniqueName="[Sheet1].[Conversions]" caption="Conversions" attribute="1" defaultMemberUniqueName="[Sheet1].[Conversions].[All]" allUniqueName="[Sheet1].[Conversions].[All]" dimensionUniqueName="[Sheet1]" displayFolder="" count="0" memberValueDatatype="20" unbalanced="0"/>
    <cacheHierarchy uniqueName="[Sheet1].[Revenue]" caption="Revenue" attribute="1" defaultMemberUniqueName="[Sheet1].[Revenue].[All]" allUniqueName="[Sheet1].[Revenue].[All]" dimensionUniqueName="[Sheet1]" displayFolder="" count="0" memberValueDatatype="5" unbalanced="0"/>
    <cacheHierarchy uniqueName="[Sheet1].[Returns]" caption="Returns" attribute="1" defaultMemberUniqueName="[Sheet1].[Returns].[All]" allUniqueName="[Sheet1].[Returns].[All]" dimensionUniqueName="[Sheet1]" displayFolder="" count="0" memberValueDatatype="20" unbalanced="0"/>
    <cacheHierarchy uniqueName="[Sheet1].[Profit]" caption="Profit" attribute="1" defaultMemberUniqueName="[Sheet1].[Profit].[All]" allUniqueName="[Sheet1].[Profit].[All]" dimensionUniqueName="[Sheet1]" displayFolder="" count="2" memberValueDatatype="5" unbalanced="0"/>
    <cacheHierarchy uniqueName="[Sheet1].[Date (Month)]" caption="Date (Month)" attribute="1" defaultMemberUniqueName="[Sheet1].[Date (Month)].[All]" allUniqueName="[Sheet1].[Date (Month)].[All]" dimensionUniqueName="[Sheet1]" displayFolder="" count="0" memberValueDatatype="130" unbalanced="0"/>
    <cacheHierarchy uniqueName="[Sheet1  3].[Date]" caption="Date" attribute="1" time="1" defaultMemberUniqueName="[Sheet1  3].[Date].[All]" allUniqueName="[Sheet1  3].[Date].[All]" dimensionUniqueName="[Sheet1  3]" displayFolder="" count="0" memberValueDatatype="7" unbalanced="0"/>
    <cacheHierarchy uniqueName="[Sheet1  3].[Season]" caption="Season" attribute="1" defaultMemberUniqueName="[Sheet1  3].[Season].[All]" allUniqueName="[Sheet1  3].[Season].[All]" dimensionUniqueName="[Sheet1  3]" displayFolder="" count="0" memberValueDatatype="130" unbalanced="0"/>
    <cacheHierarchy uniqueName="[Sheet1  3].[Time of Day]" caption="Time of Day" attribute="1" defaultMemberUniqueName="[Sheet1  3].[Time of Day].[All]" allUniqueName="[Sheet1  3].[Time of Day].[All]" dimensionUniqueName="[Sheet1  3]" displayFolder="" count="0" memberValueDatatype="130" unbalanced="0"/>
    <cacheHierarchy uniqueName="[Sheet1  3].[Channel]" caption="Channel" attribute="1" defaultMemberUniqueName="[Sheet1  3].[Channel].[All]" allUniqueName="[Sheet1  3].[Channel].[All]" dimensionUniqueName="[Sheet1  3]" displayFolder="" count="0" memberValueDatatype="130" unbalanced="0"/>
    <cacheHierarchy uniqueName="[Sheet1  3].[Customer Type]" caption="Customer Type" attribute="1" defaultMemberUniqueName="[Sheet1  3].[Customer Type].[All]" allUniqueName="[Sheet1  3].[Customer Type].[All]" dimensionUniqueName="[Sheet1  3]" displayFolder="" count="0" memberValueDatatype="130" unbalanced="0"/>
    <cacheHierarchy uniqueName="[Sheet1  3].[Category]" caption="Category" attribute="1" defaultMemberUniqueName="[Sheet1  3].[Category].[All]" allUniqueName="[Sheet1  3].[Category].[All]" dimensionUniqueName="[Sheet1  3]" displayFolder="" count="0" memberValueDatatype="130" unbalanced="0"/>
    <cacheHierarchy uniqueName="[Sheet1  3].[Ad Spend]" caption="Ad Spend" attribute="1" defaultMemberUniqueName="[Sheet1  3].[Ad Spend].[All]" allUniqueName="[Sheet1  3].[Ad Spend].[All]" dimensionUniqueName="[Sheet1  3]" displayFolder="" count="0" memberValueDatatype="5" unbalanced="0"/>
    <cacheHierarchy uniqueName="[Sheet1  3].[Conversions]" caption="Conversions" attribute="1" defaultMemberUniqueName="[Sheet1  3].[Conversions].[All]" allUniqueName="[Sheet1  3].[Conversions].[All]" dimensionUniqueName="[Sheet1  3]" displayFolder="" count="0" memberValueDatatype="20" unbalanced="0"/>
    <cacheHierarchy uniqueName="[Sheet1  3].[Revenue]" caption="Revenue" attribute="1" defaultMemberUniqueName="[Sheet1  3].[Revenue].[All]" allUniqueName="[Sheet1  3].[Revenue].[All]" dimensionUniqueName="[Sheet1  3]" displayFolder="" count="0" memberValueDatatype="5" unbalanced="0"/>
    <cacheHierarchy uniqueName="[Sheet1  3].[Returns]" caption="Returns" attribute="1" defaultMemberUniqueName="[Sheet1  3].[Returns].[All]" allUniqueName="[Sheet1  3].[Returns].[All]" dimensionUniqueName="[Sheet1  3]" displayFolder="" count="0" memberValueDatatype="20" unbalanced="0"/>
    <cacheHierarchy uniqueName="[Sheet1  3].[Profit]" caption="Profit" attribute="1" defaultMemberUniqueName="[Sheet1  3].[Profit].[All]" allUniqueName="[Sheet1  3].[Profit].[All]" dimensionUniqueName="[Sheet1  3]" displayFolder="" count="0" memberValueDatatype="5" unbalanced="0"/>
    <cacheHierarchy uniqueName="[Sheet1  3].[Date (Month)]" caption="Date (Month)" attribute="1" defaultMemberUniqueName="[Sheet1  3].[Date (Month)].[All]" allUniqueName="[Sheet1  3].[Date (Month)].[All]" dimensionUniqueName="[Sheet1  3]" displayFolder="" count="0" memberValueDatatype="130" unbalanced="0"/>
    <cacheHierarchy uniqueName="[Sheet1].[Date (Month Index)]" caption="Date (Month Index)" attribute="1" defaultMemberUniqueName="[Sheet1].[Date (Month Index)].[All]" allUniqueName="[Sheet1].[Date (Month Index)].[All]" dimensionUniqueName="[Sheet1]" displayFolder="" count="0" memberValueDatatype="20" unbalanced="0" hidden="1"/>
    <cacheHierarchy uniqueName="[Sheet1  3].[Date (Month Index)]" caption="Date (Month Index)" attribute="1" defaultMemberUniqueName="[Sheet1  3].[Date (Month Index)].[All]" allUniqueName="[Sheet1  3].[Date (Month Index)].[All]" dimensionUniqueName="[Sheet1  3]" displayFolder="" count="0" memberValueDatatype="20" unbalanced="0" hidden="1"/>
    <cacheHierarchy uniqueName="[Measures].[__XL_Count Sheet1  3]" caption="__XL_Count Sheet1  3" measure="1" displayFolder="" measureGroup="Sheet1  3" count="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Profit]" caption="Sum of Profit" measure="1" displayFolder="" measureGroup="Sheet1  3" count="0" hidden="1">
      <extLst>
        <ext xmlns:x15="http://schemas.microsoft.com/office/spreadsheetml/2010/11/main" uri="{B97F6D7D-B522-45F9-BDA1-12C45D357490}">
          <x15:cacheHierarchy aggregatedColumn="22"/>
        </ext>
      </extLst>
    </cacheHierarchy>
    <cacheHierarchy uniqueName="[Measures].[Sum of Ad Spend]" caption="Sum of Ad Spend" measure="1" displayFolder="" measureGroup="Sheet1" count="0" hidden="1">
      <extLst>
        <ext xmlns:x15="http://schemas.microsoft.com/office/spreadsheetml/2010/11/main" uri="{B97F6D7D-B522-45F9-BDA1-12C45D357490}">
          <x15:cacheHierarchy aggregatedColumn="6"/>
        </ext>
      </extLst>
    </cacheHierarchy>
    <cacheHierarchy uniqueName="[Measures].[Sum of Returns]" caption="Sum of Returns" measure="1" displayFolder="" measureGroup="Sheet1" count="0" hidden="1">
      <extLst>
        <ext xmlns:x15="http://schemas.microsoft.com/office/spreadsheetml/2010/11/main" uri="{B97F6D7D-B522-45F9-BDA1-12C45D357490}">
          <x15:cacheHierarchy aggregatedColumn="9"/>
        </ext>
      </extLst>
    </cacheHierarchy>
    <cacheHierarchy uniqueName="[Measures].[Sum of Revenue]" caption="Sum of Revenue" measure="1" displayFolder="" measureGroup="Sheet1" count="0" hidden="1">
      <extLst>
        <ext xmlns:x15="http://schemas.microsoft.com/office/spreadsheetml/2010/11/main" uri="{B97F6D7D-B522-45F9-BDA1-12C45D357490}">
          <x15:cacheHierarchy aggregatedColumn="8"/>
        </ext>
      </extLst>
    </cacheHierarchy>
    <cacheHierarchy uniqueName="[Measures].[Sum of Conversions]" caption="Sum of Conversions" measure="1" displayFolder="" measureGroup="Sheet1"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Profit 2]" caption="Sum of Profit 2" measure="1" displayFolder="" measureGroup="Sheet1" count="0" hidden="1">
      <extLst>
        <ext xmlns:x15="http://schemas.microsoft.com/office/spreadsheetml/2010/11/main" uri="{B97F6D7D-B522-45F9-BDA1-12C45D357490}">
          <x15:cacheHierarchy aggregatedColumn="10"/>
        </ext>
      </extLst>
    </cacheHierarchy>
  </cacheHierarchies>
  <kpis count="0"/>
  <dimensions count="3">
    <dimension measure="1" name="Measures" uniqueName="[Measures]" caption="Measures"/>
    <dimension name="Sheet1" uniqueName="[Sheet1]" caption="Sheet1"/>
    <dimension name="Sheet1  3" uniqueName="[Sheet1  3]" caption="Sheet1  3"/>
  </dimensions>
  <measureGroups count="2">
    <measureGroup name="Sheet1" caption="Sheet1"/>
    <measureGroup name="Sheet1  3" caption="Sheet1  3"/>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Hamdy Helwa" refreshedDate="46018.02148703704" backgroundQuery="1" createdVersion="8" refreshedVersion="8" minRefreshableVersion="3" recordCount="0" supportSubquery="1" supportAdvancedDrill="1" xr:uid="{63DADC22-6C10-4BBD-AA3A-96363C14327F}">
  <cacheSource type="external" connectionId="4"/>
  <cacheFields count="3">
    <cacheField name="[Measures].[Sum of Ad Spend]" caption="Sum of Ad Spend" numFmtId="0" hierarchy="30" level="32767"/>
    <cacheField name="[Sheet1].[Season].[Season]" caption="Season" numFmtId="0" hierarchy="1" level="1">
      <sharedItems count="4">
        <s v="Fall"/>
        <s v="Spring"/>
        <s v="Summer"/>
        <s v="Winter"/>
      </sharedItems>
    </cacheField>
    <cacheField name="[Measures].[Sum of Profit 2]" caption="Sum of Profit 2" numFmtId="0" hierarchy="34" level="32767"/>
  </cacheFields>
  <cacheHierarchies count="35">
    <cacheHierarchy uniqueName="[Sheet1].[Date]" caption="Date" attribute="1" time="1" defaultMemberUniqueName="[Sheet1].[Date].[All]" allUniqueName="[Sheet1].[Date].[All]" dimensionUniqueName="[Sheet1]" displayFolder="" count="0" memberValueDatatype="7" unbalanced="0"/>
    <cacheHierarchy uniqueName="[Sheet1].[Season]" caption="Season" attribute="1" defaultMemberUniqueName="[Sheet1].[Season].[All]" allUniqueName="[Sheet1].[Season].[All]" dimensionUniqueName="[Sheet1]" displayFolder="" count="2" memberValueDatatype="130" unbalanced="0">
      <fieldsUsage count="2">
        <fieldUsage x="-1"/>
        <fieldUsage x="1"/>
      </fieldsUsage>
    </cacheHierarchy>
    <cacheHierarchy uniqueName="[Sheet1].[Time of Day]" caption="Time of Day" attribute="1" defaultMemberUniqueName="[Sheet1].[Time of Day].[All]" allUniqueName="[Sheet1].[Time of Day].[All]" dimensionUniqueName="[Sheet1]" displayFolder="" count="0" memberValueDatatype="130" unbalanced="0"/>
    <cacheHierarchy uniqueName="[Sheet1].[Channel]" caption="Channel" attribute="1" defaultMemberUniqueName="[Sheet1].[Channel].[All]" allUniqueName="[Sheet1].[Channel].[All]" dimensionUniqueName="[Sheet1]" displayFolder="" count="0" memberValueDatatype="130" unbalanced="0"/>
    <cacheHierarchy uniqueName="[Sheet1].[Customer Type]" caption="Customer Type" attribute="1" defaultMemberUniqueName="[Sheet1].[Customer Type].[All]" allUniqueName="[Sheet1].[Customer Type].[All]" dimensionUniqueName="[Sheet1]" displayFolder="" count="0" memberValueDatatype="130" unbalanced="0"/>
    <cacheHierarchy uniqueName="[Sheet1].[Category]" caption="Category" attribute="1" defaultMemberUniqueName="[Sheet1].[Category].[All]" allUniqueName="[Sheet1].[Category].[All]" dimensionUniqueName="[Sheet1]" displayFolder="" count="2" memberValueDatatype="130" unbalanced="0"/>
    <cacheHierarchy uniqueName="[Sheet1].[Ad Spend]" caption="Ad Spend" attribute="1" defaultMemberUniqueName="[Sheet1].[Ad Spend].[All]" allUniqueName="[Sheet1].[Ad Spend].[All]" dimensionUniqueName="[Sheet1]" displayFolder="" count="2" memberValueDatatype="5" unbalanced="0"/>
    <cacheHierarchy uniqueName="[Sheet1].[Conversions]" caption="Conversions" attribute="1" defaultMemberUniqueName="[Sheet1].[Conversions].[All]" allUniqueName="[Sheet1].[Conversions].[All]" dimensionUniqueName="[Sheet1]" displayFolder="" count="0" memberValueDatatype="20" unbalanced="0"/>
    <cacheHierarchy uniqueName="[Sheet1].[Revenue]" caption="Revenue" attribute="1" defaultMemberUniqueName="[Sheet1].[Revenue].[All]" allUniqueName="[Sheet1].[Revenue].[All]" dimensionUniqueName="[Sheet1]" displayFolder="" count="0" memberValueDatatype="5" unbalanced="0"/>
    <cacheHierarchy uniqueName="[Sheet1].[Returns]" caption="Returns" attribute="1" defaultMemberUniqueName="[Sheet1].[Returns].[All]" allUniqueName="[Sheet1].[Returns].[All]" dimensionUniqueName="[Sheet1]" displayFolder="" count="0" memberValueDatatype="20" unbalanced="0"/>
    <cacheHierarchy uniqueName="[Sheet1].[Profit]" caption="Profit" attribute="1" defaultMemberUniqueName="[Sheet1].[Profit].[All]" allUniqueName="[Sheet1].[Profit].[All]" dimensionUniqueName="[Sheet1]" displayFolder="" count="2" memberValueDatatype="5" unbalanced="0"/>
    <cacheHierarchy uniqueName="[Sheet1].[Date (Month)]" caption="Date (Month)" attribute="1" defaultMemberUniqueName="[Sheet1].[Date (Month)].[All]" allUniqueName="[Sheet1].[Date (Month)].[All]" dimensionUniqueName="[Sheet1]" displayFolder="" count="0" memberValueDatatype="130" unbalanced="0"/>
    <cacheHierarchy uniqueName="[Sheet1  3].[Date]" caption="Date" attribute="1" time="1" defaultMemberUniqueName="[Sheet1  3].[Date].[All]" allUniqueName="[Sheet1  3].[Date].[All]" dimensionUniqueName="[Sheet1  3]" displayFolder="" count="0" memberValueDatatype="7" unbalanced="0"/>
    <cacheHierarchy uniqueName="[Sheet1  3].[Season]" caption="Season" attribute="1" defaultMemberUniqueName="[Sheet1  3].[Season].[All]" allUniqueName="[Sheet1  3].[Season].[All]" dimensionUniqueName="[Sheet1  3]" displayFolder="" count="0" memberValueDatatype="130" unbalanced="0"/>
    <cacheHierarchy uniqueName="[Sheet1  3].[Time of Day]" caption="Time of Day" attribute="1" defaultMemberUniqueName="[Sheet1  3].[Time of Day].[All]" allUniqueName="[Sheet1  3].[Time of Day].[All]" dimensionUniqueName="[Sheet1  3]" displayFolder="" count="0" memberValueDatatype="130" unbalanced="0"/>
    <cacheHierarchy uniqueName="[Sheet1  3].[Channel]" caption="Channel" attribute="1" defaultMemberUniqueName="[Sheet1  3].[Channel].[All]" allUniqueName="[Sheet1  3].[Channel].[All]" dimensionUniqueName="[Sheet1  3]" displayFolder="" count="0" memberValueDatatype="130" unbalanced="0"/>
    <cacheHierarchy uniqueName="[Sheet1  3].[Customer Type]" caption="Customer Type" attribute="1" defaultMemberUniqueName="[Sheet1  3].[Customer Type].[All]" allUniqueName="[Sheet1  3].[Customer Type].[All]" dimensionUniqueName="[Sheet1  3]" displayFolder="" count="0" memberValueDatatype="130" unbalanced="0"/>
    <cacheHierarchy uniqueName="[Sheet1  3].[Category]" caption="Category" attribute="1" defaultMemberUniqueName="[Sheet1  3].[Category].[All]" allUniqueName="[Sheet1  3].[Category].[All]" dimensionUniqueName="[Sheet1  3]" displayFolder="" count="0" memberValueDatatype="130" unbalanced="0"/>
    <cacheHierarchy uniqueName="[Sheet1  3].[Ad Spend]" caption="Ad Spend" attribute="1" defaultMemberUniqueName="[Sheet1  3].[Ad Spend].[All]" allUniqueName="[Sheet1  3].[Ad Spend].[All]" dimensionUniqueName="[Sheet1  3]" displayFolder="" count="0" memberValueDatatype="5" unbalanced="0"/>
    <cacheHierarchy uniqueName="[Sheet1  3].[Conversions]" caption="Conversions" attribute="1" defaultMemberUniqueName="[Sheet1  3].[Conversions].[All]" allUniqueName="[Sheet1  3].[Conversions].[All]" dimensionUniqueName="[Sheet1  3]" displayFolder="" count="0" memberValueDatatype="20" unbalanced="0"/>
    <cacheHierarchy uniqueName="[Sheet1  3].[Revenue]" caption="Revenue" attribute="1" defaultMemberUniqueName="[Sheet1  3].[Revenue].[All]" allUniqueName="[Sheet1  3].[Revenue].[All]" dimensionUniqueName="[Sheet1  3]" displayFolder="" count="0" memberValueDatatype="5" unbalanced="0"/>
    <cacheHierarchy uniqueName="[Sheet1  3].[Returns]" caption="Returns" attribute="1" defaultMemberUniqueName="[Sheet1  3].[Returns].[All]" allUniqueName="[Sheet1  3].[Returns].[All]" dimensionUniqueName="[Sheet1  3]" displayFolder="" count="0" memberValueDatatype="20" unbalanced="0"/>
    <cacheHierarchy uniqueName="[Sheet1  3].[Profit]" caption="Profit" attribute="1" defaultMemberUniqueName="[Sheet1  3].[Profit].[All]" allUniqueName="[Sheet1  3].[Profit].[All]" dimensionUniqueName="[Sheet1  3]" displayFolder="" count="0" memberValueDatatype="5" unbalanced="0"/>
    <cacheHierarchy uniqueName="[Sheet1  3].[Date (Month)]" caption="Date (Month)" attribute="1" defaultMemberUniqueName="[Sheet1  3].[Date (Month)].[All]" allUniqueName="[Sheet1  3].[Date (Month)].[All]" dimensionUniqueName="[Sheet1  3]" displayFolder="" count="0" memberValueDatatype="130" unbalanced="0"/>
    <cacheHierarchy uniqueName="[Sheet1].[Date (Month Index)]" caption="Date (Month Index)" attribute="1" defaultMemberUniqueName="[Sheet1].[Date (Month Index)].[All]" allUniqueName="[Sheet1].[Date (Month Index)].[All]" dimensionUniqueName="[Sheet1]" displayFolder="" count="0" memberValueDatatype="20" unbalanced="0" hidden="1"/>
    <cacheHierarchy uniqueName="[Sheet1  3].[Date (Month Index)]" caption="Date (Month Index)" attribute="1" defaultMemberUniqueName="[Sheet1  3].[Date (Month Index)].[All]" allUniqueName="[Sheet1  3].[Date (Month Index)].[All]" dimensionUniqueName="[Sheet1  3]" displayFolder="" count="0" memberValueDatatype="20" unbalanced="0" hidden="1"/>
    <cacheHierarchy uniqueName="[Measures].[__XL_Count Sheet1  3]" caption="__XL_Count Sheet1  3" measure="1" displayFolder="" measureGroup="Sheet1  3" count="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Profit]" caption="Sum of Profit" measure="1" displayFolder="" measureGroup="Sheet1  3" count="0" hidden="1">
      <extLst>
        <ext xmlns:x15="http://schemas.microsoft.com/office/spreadsheetml/2010/11/main" uri="{B97F6D7D-B522-45F9-BDA1-12C45D357490}">
          <x15:cacheHierarchy aggregatedColumn="22"/>
        </ext>
      </extLst>
    </cacheHierarchy>
    <cacheHierarchy uniqueName="[Measures].[Sum of Ad Spend]" caption="Sum of Ad Spend" measure="1" displayFolder="" measureGroup="Sheet1" count="0" oneField="1" hidden="1">
      <fieldsUsage count="1">
        <fieldUsage x="0"/>
      </fieldsUsage>
      <extLst>
        <ext xmlns:x15="http://schemas.microsoft.com/office/spreadsheetml/2010/11/main" uri="{B97F6D7D-B522-45F9-BDA1-12C45D357490}">
          <x15:cacheHierarchy aggregatedColumn="6"/>
        </ext>
      </extLst>
    </cacheHierarchy>
    <cacheHierarchy uniqueName="[Measures].[Sum of Returns]" caption="Sum of Returns" measure="1" displayFolder="" measureGroup="Sheet1" count="0" hidden="1">
      <extLst>
        <ext xmlns:x15="http://schemas.microsoft.com/office/spreadsheetml/2010/11/main" uri="{B97F6D7D-B522-45F9-BDA1-12C45D357490}">
          <x15:cacheHierarchy aggregatedColumn="9"/>
        </ext>
      </extLst>
    </cacheHierarchy>
    <cacheHierarchy uniqueName="[Measures].[Sum of Revenue]" caption="Sum of Revenue" measure="1" displayFolder="" measureGroup="Sheet1" count="0" hidden="1">
      <extLst>
        <ext xmlns:x15="http://schemas.microsoft.com/office/spreadsheetml/2010/11/main" uri="{B97F6D7D-B522-45F9-BDA1-12C45D357490}">
          <x15:cacheHierarchy aggregatedColumn="8"/>
        </ext>
      </extLst>
    </cacheHierarchy>
    <cacheHierarchy uniqueName="[Measures].[Sum of Conversions]" caption="Sum of Conversions" measure="1" displayFolder="" measureGroup="Sheet1" count="0" hidden="1">
      <extLst>
        <ext xmlns:x15="http://schemas.microsoft.com/office/spreadsheetml/2010/11/main" uri="{B97F6D7D-B522-45F9-BDA1-12C45D357490}">
          <x15:cacheHierarchy aggregatedColumn="7"/>
        </ext>
      </extLst>
    </cacheHierarchy>
    <cacheHierarchy uniqueName="[Measures].[Sum of Profit 2]" caption="Sum of Profit 2" measure="1" displayFolder="" measureGroup="Sheet1" count="0" oneField="1" hidden="1">
      <fieldsUsage count="1">
        <fieldUsage x="2"/>
      </fieldsUsage>
      <extLst>
        <ext xmlns:x15="http://schemas.microsoft.com/office/spreadsheetml/2010/11/main" uri="{B97F6D7D-B522-45F9-BDA1-12C45D357490}">
          <x15:cacheHierarchy aggregatedColumn="10"/>
        </ext>
      </extLst>
    </cacheHierarchy>
  </cacheHierarchies>
  <kpis count="0"/>
  <dimensions count="3">
    <dimension measure="1" name="Measures" uniqueName="[Measures]" caption="Measures"/>
    <dimension name="Sheet1" uniqueName="[Sheet1]" caption="Sheet1"/>
    <dimension name="Sheet1  3" uniqueName="[Sheet1  3]" caption="Sheet1  3"/>
  </dimensions>
  <measureGroups count="2">
    <measureGroup name="Sheet1" caption="Sheet1"/>
    <measureGroup name="Sheet1  3" caption="Sheet1  3"/>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Hamdy Helwa" refreshedDate="46018.018537847223" backgroundQuery="1" createdVersion="3" refreshedVersion="8" minRefreshableVersion="3" recordCount="0" supportSubquery="1" supportAdvancedDrill="1" xr:uid="{79D31F86-CD1F-412D-BE4E-671E76E623AB}">
  <cacheSource type="external" connectionId="4">
    <extLst>
      <ext xmlns:x14="http://schemas.microsoft.com/office/spreadsheetml/2009/9/main" uri="{F057638F-6D5F-4e77-A914-E7F072B9BCA8}">
        <x14:sourceConnection name="ThisWorkbookDataModel"/>
      </ext>
    </extLst>
  </cacheSource>
  <cacheFields count="0"/>
  <cacheHierarchies count="35">
    <cacheHierarchy uniqueName="[Sheet1].[Date]" caption="Date" attribute="1" time="1" defaultMemberUniqueName="[Sheet1].[Date].[All]" allUniqueName="[Sheet1].[Date].[All]" dimensionUniqueName="[Sheet1]" displayFolder="" count="0" memberValueDatatype="7" unbalanced="0"/>
    <cacheHierarchy uniqueName="[Sheet1].[Season]" caption="Season" attribute="1" defaultMemberUniqueName="[Sheet1].[Season].[All]" allUniqueName="[Sheet1].[Season].[All]" dimensionUniqueName="[Sheet1]" displayFolder="" count="2" memberValueDatatype="130" unbalanced="0"/>
    <cacheHierarchy uniqueName="[Sheet1].[Time of Day]" caption="Time of Day" attribute="1" defaultMemberUniqueName="[Sheet1].[Time of Day].[All]" allUniqueName="[Sheet1].[Time of Day].[All]" dimensionUniqueName="[Sheet1]" displayFolder="" count="0" memberValueDatatype="130" unbalanced="0"/>
    <cacheHierarchy uniqueName="[Sheet1].[Channel]" caption="Channel" attribute="1" defaultMemberUniqueName="[Sheet1].[Channel].[All]" allUniqueName="[Sheet1].[Channel].[All]" dimensionUniqueName="[Sheet1]" displayFolder="" count="0" memberValueDatatype="130" unbalanced="0"/>
    <cacheHierarchy uniqueName="[Sheet1].[Customer Type]" caption="Customer Type" attribute="1" defaultMemberUniqueName="[Sheet1].[Customer Type].[All]" allUniqueName="[Sheet1].[Customer Type].[All]" dimensionUniqueName="[Sheet1]" displayFolder="" count="0" memberValueDatatype="130" unbalanced="0"/>
    <cacheHierarchy uniqueName="[Sheet1].[Category]" caption="Category" attribute="1" defaultMemberUniqueName="[Sheet1].[Category].[All]" allUniqueName="[Sheet1].[Category].[All]" dimensionUniqueName="[Sheet1]" displayFolder="" count="2" memberValueDatatype="130" unbalanced="0"/>
    <cacheHierarchy uniqueName="[Sheet1].[Ad Spend]" caption="Ad Spend" attribute="1" defaultMemberUniqueName="[Sheet1].[Ad Spend].[All]" allUniqueName="[Sheet1].[Ad Spend].[All]" dimensionUniqueName="[Sheet1]" displayFolder="" count="2" memberValueDatatype="5" unbalanced="0"/>
    <cacheHierarchy uniqueName="[Sheet1].[Conversions]" caption="Conversions" attribute="1" defaultMemberUniqueName="[Sheet1].[Conversions].[All]" allUniqueName="[Sheet1].[Conversions].[All]" dimensionUniqueName="[Sheet1]" displayFolder="" count="0" memberValueDatatype="20" unbalanced="0"/>
    <cacheHierarchy uniqueName="[Sheet1].[Revenue]" caption="Revenue" attribute="1" defaultMemberUniqueName="[Sheet1].[Revenue].[All]" allUniqueName="[Sheet1].[Revenue].[All]" dimensionUniqueName="[Sheet1]" displayFolder="" count="0" memberValueDatatype="5" unbalanced="0"/>
    <cacheHierarchy uniqueName="[Sheet1].[Returns]" caption="Returns" attribute="1" defaultMemberUniqueName="[Sheet1].[Returns].[All]" allUniqueName="[Sheet1].[Returns].[All]" dimensionUniqueName="[Sheet1]" displayFolder="" count="0" memberValueDatatype="20" unbalanced="0"/>
    <cacheHierarchy uniqueName="[Sheet1].[Profit]" caption="Profit" attribute="1" defaultMemberUniqueName="[Sheet1].[Profit].[All]" allUniqueName="[Sheet1].[Profit].[All]" dimensionUniqueName="[Sheet1]" displayFolder="" count="2" memberValueDatatype="5" unbalanced="0"/>
    <cacheHierarchy uniqueName="[Sheet1].[Date (Month)]" caption="Date (Month)" attribute="1" defaultMemberUniqueName="[Sheet1].[Date (Month)].[All]" allUniqueName="[Sheet1].[Date (Month)].[All]" dimensionUniqueName="[Sheet1]" displayFolder="" count="0" memberValueDatatype="130" unbalanced="0"/>
    <cacheHierarchy uniqueName="[Sheet1  3].[Date]" caption="Date" attribute="1" time="1" defaultMemberUniqueName="[Sheet1  3].[Date].[All]" allUniqueName="[Sheet1  3].[Date].[All]" dimensionUniqueName="[Sheet1  3]" displayFolder="" count="0" memberValueDatatype="7" unbalanced="0"/>
    <cacheHierarchy uniqueName="[Sheet1  3].[Season]" caption="Season" attribute="1" defaultMemberUniqueName="[Sheet1  3].[Season].[All]" allUniqueName="[Sheet1  3].[Season].[All]" dimensionUniqueName="[Sheet1  3]" displayFolder="" count="0" memberValueDatatype="130" unbalanced="0"/>
    <cacheHierarchy uniqueName="[Sheet1  3].[Time of Day]" caption="Time of Day" attribute="1" defaultMemberUniqueName="[Sheet1  3].[Time of Day].[All]" allUniqueName="[Sheet1  3].[Time of Day].[All]" dimensionUniqueName="[Sheet1  3]" displayFolder="" count="0" memberValueDatatype="130" unbalanced="0"/>
    <cacheHierarchy uniqueName="[Sheet1  3].[Channel]" caption="Channel" attribute="1" defaultMemberUniqueName="[Sheet1  3].[Channel].[All]" allUniqueName="[Sheet1  3].[Channel].[All]" dimensionUniqueName="[Sheet1  3]" displayFolder="" count="0" memberValueDatatype="130" unbalanced="0"/>
    <cacheHierarchy uniqueName="[Sheet1  3].[Customer Type]" caption="Customer Type" attribute="1" defaultMemberUniqueName="[Sheet1  3].[Customer Type].[All]" allUniqueName="[Sheet1  3].[Customer Type].[All]" dimensionUniqueName="[Sheet1  3]" displayFolder="" count="0" memberValueDatatype="130" unbalanced="0"/>
    <cacheHierarchy uniqueName="[Sheet1  3].[Category]" caption="Category" attribute="1" defaultMemberUniqueName="[Sheet1  3].[Category].[All]" allUniqueName="[Sheet1  3].[Category].[All]" dimensionUniqueName="[Sheet1  3]" displayFolder="" count="0" memberValueDatatype="130" unbalanced="0"/>
    <cacheHierarchy uniqueName="[Sheet1  3].[Ad Spend]" caption="Ad Spend" attribute="1" defaultMemberUniqueName="[Sheet1  3].[Ad Spend].[All]" allUniqueName="[Sheet1  3].[Ad Spend].[All]" dimensionUniqueName="[Sheet1  3]" displayFolder="" count="0" memberValueDatatype="5" unbalanced="0"/>
    <cacheHierarchy uniqueName="[Sheet1  3].[Conversions]" caption="Conversions" attribute="1" defaultMemberUniqueName="[Sheet1  3].[Conversions].[All]" allUniqueName="[Sheet1  3].[Conversions].[All]" dimensionUniqueName="[Sheet1  3]" displayFolder="" count="0" memberValueDatatype="20" unbalanced="0"/>
    <cacheHierarchy uniqueName="[Sheet1  3].[Revenue]" caption="Revenue" attribute="1" defaultMemberUniqueName="[Sheet1  3].[Revenue].[All]" allUniqueName="[Sheet1  3].[Revenue].[All]" dimensionUniqueName="[Sheet1  3]" displayFolder="" count="0" memberValueDatatype="5" unbalanced="0"/>
    <cacheHierarchy uniqueName="[Sheet1  3].[Returns]" caption="Returns" attribute="1" defaultMemberUniqueName="[Sheet1  3].[Returns].[All]" allUniqueName="[Sheet1  3].[Returns].[All]" dimensionUniqueName="[Sheet1  3]" displayFolder="" count="0" memberValueDatatype="20" unbalanced="0"/>
    <cacheHierarchy uniqueName="[Sheet1  3].[Profit]" caption="Profit" attribute="1" defaultMemberUniqueName="[Sheet1  3].[Profit].[All]" allUniqueName="[Sheet1  3].[Profit].[All]" dimensionUniqueName="[Sheet1  3]" displayFolder="" count="0" memberValueDatatype="5" unbalanced="0"/>
    <cacheHierarchy uniqueName="[Sheet1  3].[Date (Month)]" caption="Date (Month)" attribute="1" defaultMemberUniqueName="[Sheet1  3].[Date (Month)].[All]" allUniqueName="[Sheet1  3].[Date (Month)].[All]" dimensionUniqueName="[Sheet1  3]" displayFolder="" count="0" memberValueDatatype="130" unbalanced="0"/>
    <cacheHierarchy uniqueName="[Sheet1].[Date (Month Index)]" caption="Date (Month Index)" attribute="1" defaultMemberUniqueName="[Sheet1].[Date (Month Index)].[All]" allUniqueName="[Sheet1].[Date (Month Index)].[All]" dimensionUniqueName="[Sheet1]" displayFolder="" count="0" memberValueDatatype="20" unbalanced="0" hidden="1"/>
    <cacheHierarchy uniqueName="[Sheet1  3].[Date (Month Index)]" caption="Date (Month Index)" attribute="1" defaultMemberUniqueName="[Sheet1  3].[Date (Month Index)].[All]" allUniqueName="[Sheet1  3].[Date (Month Index)].[All]" dimensionUniqueName="[Sheet1  3]" displayFolder="" count="0" memberValueDatatype="20" unbalanced="0" hidden="1"/>
    <cacheHierarchy uniqueName="[Measures].[__XL_Count Sheet1  3]" caption="__XL_Count Sheet1  3" measure="1" displayFolder="" measureGroup="Sheet1  3" count="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Profit]" caption="Sum of Profit" measure="1" displayFolder="" measureGroup="Sheet1  3" count="0" hidden="1">
      <extLst>
        <ext xmlns:x15="http://schemas.microsoft.com/office/spreadsheetml/2010/11/main" uri="{B97F6D7D-B522-45F9-BDA1-12C45D357490}">
          <x15:cacheHierarchy aggregatedColumn="22"/>
        </ext>
      </extLst>
    </cacheHierarchy>
    <cacheHierarchy uniqueName="[Measures].[Sum of Ad Spend]" caption="Sum of Ad Spend" measure="1" displayFolder="" measureGroup="Sheet1" count="0" hidden="1">
      <extLst>
        <ext xmlns:x15="http://schemas.microsoft.com/office/spreadsheetml/2010/11/main" uri="{B97F6D7D-B522-45F9-BDA1-12C45D357490}">
          <x15:cacheHierarchy aggregatedColumn="6"/>
        </ext>
      </extLst>
    </cacheHierarchy>
    <cacheHierarchy uniqueName="[Measures].[Sum of Returns]" caption="Sum of Returns" measure="1" displayFolder="" measureGroup="Sheet1" count="0" hidden="1">
      <extLst>
        <ext xmlns:x15="http://schemas.microsoft.com/office/spreadsheetml/2010/11/main" uri="{B97F6D7D-B522-45F9-BDA1-12C45D357490}">
          <x15:cacheHierarchy aggregatedColumn="9"/>
        </ext>
      </extLst>
    </cacheHierarchy>
    <cacheHierarchy uniqueName="[Measures].[Sum of Revenue]" caption="Sum of Revenue" measure="1" displayFolder="" measureGroup="Sheet1" count="0" hidden="1">
      <extLst>
        <ext xmlns:x15="http://schemas.microsoft.com/office/spreadsheetml/2010/11/main" uri="{B97F6D7D-B522-45F9-BDA1-12C45D357490}">
          <x15:cacheHierarchy aggregatedColumn="8"/>
        </ext>
      </extLst>
    </cacheHierarchy>
    <cacheHierarchy uniqueName="[Measures].[Sum of Conversions]" caption="Sum of Conversions" measure="1" displayFolder="" measureGroup="Sheet1" count="0" hidden="1">
      <extLst>
        <ext xmlns:x15="http://schemas.microsoft.com/office/spreadsheetml/2010/11/main" uri="{B97F6D7D-B522-45F9-BDA1-12C45D357490}">
          <x15:cacheHierarchy aggregatedColumn="7"/>
        </ext>
      </extLst>
    </cacheHierarchy>
    <cacheHierarchy uniqueName="[Measures].[Sum of Profit 2]" caption="Sum of Profit 2" measure="1" displayFolder="" measureGroup="Sheet1" count="0" hidden="1">
      <extLst>
        <ext xmlns:x15="http://schemas.microsoft.com/office/spreadsheetml/2010/11/main" uri="{B97F6D7D-B522-45F9-BDA1-12C45D357490}">
          <x15:cacheHierarchy aggregatedColumn="10"/>
        </ext>
      </extLst>
    </cacheHierarchy>
  </cacheHierarchies>
  <kpis count="0"/>
  <extLst>
    <ext xmlns:x14="http://schemas.microsoft.com/office/spreadsheetml/2009/9/main" uri="{725AE2AE-9491-48be-B2B4-4EB974FC3084}">
      <x14:pivotCacheDefinition slicerData="1" pivotCacheId="107202263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F269D17-2393-4674-BB0B-4E86EB0554E0}" name="PivotTable1" cacheId="329" applyNumberFormats="0" applyBorderFormats="0" applyFontFormats="0" applyPatternFormats="0" applyAlignmentFormats="0" applyWidthHeightFormats="1" dataCaption="Values" tag="7fcb3e80-4ec9-423b-a01e-288b08c360a9" updatedVersion="8" minRefreshableVersion="3" useAutoFormatting="1" itemPrintTitles="1" createdVersion="8" indent="0" outline="1" outlineData="1" multipleFieldFilters="0" chartFormat="8">
  <location ref="U7:V20" firstHeaderRow="1" firstDataRow="1" firstDataCol="1"/>
  <pivotFields count="4">
    <pivotField axis="axisRow" allDrilled="1" subtotalTop="0" showAll="0" dataSourceSort="1" defaultSubtotal="0" defaultAttributeDrillState="1">
      <items count="36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allDrilled="1" subtotalTop="0" showAll="0" dataSourceSort="1" defaultSubtotal="0" defaultAttributeDrillState="1"/>
  </pivotFields>
  <rowFields count="2">
    <field x="1"/>
    <field x="0"/>
  </rowFields>
  <rowItems count="13">
    <i>
      <x/>
    </i>
    <i>
      <x v="1"/>
    </i>
    <i>
      <x v="2"/>
    </i>
    <i>
      <x v="3"/>
    </i>
    <i>
      <x v="4"/>
    </i>
    <i>
      <x v="5"/>
    </i>
    <i>
      <x v="6"/>
    </i>
    <i>
      <x v="7"/>
    </i>
    <i>
      <x v="8"/>
    </i>
    <i>
      <x v="9"/>
    </i>
    <i>
      <x v="10"/>
    </i>
    <i>
      <x v="11"/>
    </i>
    <i t="grand">
      <x/>
    </i>
  </rowItems>
  <colItems count="1">
    <i/>
  </colItems>
  <dataFields count="1">
    <dataField name="Sum of Profit" fld="2" baseField="0" baseItem="0"/>
  </dataFields>
  <chartFormats count="1">
    <chartFormat chart="5"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3"/>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Sheet1 (3)">
        <x15:activeTabTopLevelEntity name="[Sheet1  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1C79E03-F794-4B02-8788-6A5F58E95641}" name="PivotTable6" cacheId="341" applyNumberFormats="0" applyBorderFormats="0" applyFontFormats="0" applyPatternFormats="0" applyAlignmentFormats="0" applyWidthHeightFormats="1" dataCaption="Values" tag="f00f7e8c-2db9-4742-9049-a310d77cc5f0" updatedVersion="8" minRefreshableVersion="3" useAutoFormatting="1" subtotalHiddenItems="1" itemPrintTitles="1" createdVersion="8" indent="0" outline="1" outlineData="1" multipleFieldFilters="0" chartFormat="9">
  <location ref="M23:O28" firstHeaderRow="0"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dataField="1" subtotalTop="0" showAll="0" defaultSubtotal="0"/>
  </pivotFields>
  <rowFields count="1">
    <field x="1"/>
  </rowFields>
  <rowItems count="5">
    <i>
      <x/>
    </i>
    <i>
      <x v="1"/>
    </i>
    <i>
      <x v="2"/>
    </i>
    <i>
      <x v="3"/>
    </i>
    <i t="grand">
      <x/>
    </i>
  </rowItems>
  <colFields count="1">
    <field x="-2"/>
  </colFields>
  <colItems count="2">
    <i>
      <x/>
    </i>
    <i i="1">
      <x v="1"/>
    </i>
  </colItems>
  <dataFields count="2">
    <dataField name="Sum of Ad Spend" fld="0" baseField="0" baseItem="0"/>
    <dataField name="Sum of Profit" fld="2" baseField="0" baseItem="0"/>
  </dataFields>
  <chartFormats count="2">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Hierarchies count="35">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B07C53F-DAF8-4953-8957-B368D36F831E}" name="PivotTable5" cacheId="338" applyNumberFormats="0" applyBorderFormats="0" applyFontFormats="0" applyPatternFormats="0" applyAlignmentFormats="0" applyWidthHeightFormats="1" dataCaption="Values" tag="80b0f0dd-39d2-4e88-9b3c-b950d8a4b2cc" updatedVersion="8" minRefreshableVersion="3" useAutoFormatting="1" itemPrintTitles="1" createdVersion="8" indent="0" outline="1" outlineData="1" multipleFieldFilters="0">
  <location ref="U23:V28"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Conversions" fld="1" baseField="0" baseItem="0"/>
  </dataFields>
  <pivotHierarchies count="35">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7805BEA-3FC4-4080-8FEB-505EB23F9D95}" name="PivotTable4" cacheId="326" applyNumberFormats="0" applyBorderFormats="0" applyFontFormats="0" applyPatternFormats="0" applyAlignmentFormats="0" applyWidthHeightFormats="1" dataCaption="Values" tag="2a53164b-c47c-48c0-b3bd-1cb3a05cd5d7" updatedVersion="8" minRefreshableVersion="3" useAutoFormatting="1" itemPrintTitles="1" createdVersion="8" indent="0" outline="1" outlineData="1" multipleFieldFilters="0" chartFormat="5">
  <location ref="Q23:R28"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Returns" fld="1" baseField="0" baseItem="0"/>
  </dataFields>
  <chartFormats count="1">
    <chartFormat chart="2"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8792588-BEC8-4E83-BA2D-48CBC0A26D76}" name="PivotTable3" cacheId="335" applyNumberFormats="0" applyBorderFormats="0" applyFontFormats="0" applyPatternFormats="0" applyAlignmentFormats="0" applyWidthHeightFormats="1" dataCaption="Values" tag="d8151bb6-0dee-4625-a623-a246f147138c" updatedVersion="8" minRefreshableVersion="3" useAutoFormatting="1" itemPrintTitles="1" createdVersion="8" indent="0" outline="1" outlineData="1" multipleFieldFilters="0" chartFormat="7">
  <location ref="X22:Y28"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Ad Spend" fld="0" baseField="0" baseItem="0"/>
  </dataFields>
  <chartFormats count="6">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1" count="1" selected="0">
            <x v="0"/>
          </reference>
        </references>
      </pivotArea>
    </chartFormat>
    <chartFormat chart="6" format="9">
      <pivotArea type="data" outline="0" fieldPosition="0">
        <references count="2">
          <reference field="4294967294" count="1" selected="0">
            <x v="0"/>
          </reference>
          <reference field="1" count="1" selected="0">
            <x v="1"/>
          </reference>
        </references>
      </pivotArea>
    </chartFormat>
    <chartFormat chart="6" format="10">
      <pivotArea type="data" outline="0" fieldPosition="0">
        <references count="2">
          <reference field="4294967294" count="1" selected="0">
            <x v="0"/>
          </reference>
          <reference field="1" count="1" selected="0">
            <x v="2"/>
          </reference>
        </references>
      </pivotArea>
    </chartFormat>
    <chartFormat chart="6" format="11">
      <pivotArea type="data" outline="0" fieldPosition="0">
        <references count="2">
          <reference field="4294967294" count="1" selected="0">
            <x v="0"/>
          </reference>
          <reference field="1" count="1" selected="0">
            <x v="3"/>
          </reference>
        </references>
      </pivotArea>
    </chartFormat>
    <chartFormat chart="6" format="12">
      <pivotArea type="data" outline="0" fieldPosition="0">
        <references count="2">
          <reference field="4294967294" count="1" selected="0">
            <x v="0"/>
          </reference>
          <reference field="1" count="1" selected="0">
            <x v="4"/>
          </reference>
        </references>
      </pivotArea>
    </chartFormat>
  </chartFormats>
  <pivotHierarchies count="35">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7ACB62C-BA87-4B48-86E3-A8321AFB943F}" name="PivotTable2" cacheId="3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X7:Y20" firstHeaderRow="1" firstDataRow="1" firstDataCol="1"/>
  <pivotFields count="4">
    <pivotField axis="axisRow" allDrilled="1" subtotalTop="0" showAll="0" dataSourceSort="1" defaultSubtotal="0" defaultAttributeDrillState="1">
      <items count="36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allDrilled="1" subtotalTop="0" showAll="0" dataSourceSort="1" defaultSubtotal="0" defaultAttributeDrillState="1"/>
  </pivotFields>
  <rowFields count="2">
    <field x="1"/>
    <field x="0"/>
  </rowFields>
  <rowItems count="13">
    <i>
      <x/>
    </i>
    <i>
      <x v="1"/>
    </i>
    <i>
      <x v="2"/>
    </i>
    <i>
      <x v="3"/>
    </i>
    <i>
      <x v="4"/>
    </i>
    <i>
      <x v="5"/>
    </i>
    <i>
      <x v="6"/>
    </i>
    <i>
      <x v="7"/>
    </i>
    <i>
      <x v="8"/>
    </i>
    <i>
      <x v="9"/>
    </i>
    <i>
      <x v="10"/>
    </i>
    <i>
      <x v="11"/>
    </i>
    <i t="grand">
      <x/>
    </i>
  </rowItems>
  <colItems count="1">
    <i/>
  </colItems>
  <dataFields count="1">
    <dataField name="Sum of Ad Spend" fld="2" baseField="0" baseItem="0"/>
  </dataFields>
  <pivotHierarchies count="35">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49C55CE-2D6C-4FEE-AC22-8E16B93082C7}" autoFormatId="16" applyNumberFormats="0" applyBorderFormats="0" applyFontFormats="0" applyPatternFormats="0" applyAlignmentFormats="0" applyWidthHeightFormats="0">
  <queryTableRefresh nextId="12">
    <queryTableFields count="11">
      <queryTableField id="1" name="Date" tableColumnId="1"/>
      <queryTableField id="2" name="Season" tableColumnId="2"/>
      <queryTableField id="3" name="Time of Day" tableColumnId="3"/>
      <queryTableField id="4" name="Channel" tableColumnId="4"/>
      <queryTableField id="5" name="Customer Type" tableColumnId="5"/>
      <queryTableField id="6" name="Category" tableColumnId="6"/>
      <queryTableField id="7" name="Ad Spend" tableColumnId="7"/>
      <queryTableField id="8" name="Conversions" tableColumnId="8"/>
      <queryTableField id="9" name="Revenue" tableColumnId="9"/>
      <queryTableField id="10" name="Returns" tableColumnId="10"/>
      <queryTableField id="11" name="Profit"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fit" xr10:uid="{C0C3F8DC-0615-4C69-8F03-055C880129E0}" sourceName="[Sheet1].[Profit]">
  <pivotTables>
    <pivotTable tabId="2" name="PivotTable4"/>
    <pivotTable tabId="2" name="PivotTable1"/>
    <pivotTable tabId="2" name="PivotTable2"/>
    <pivotTable tabId="2" name="PivotTable3"/>
    <pivotTable tabId="2" name="PivotTable5"/>
    <pivotTable tabId="2" name="PivotTable6"/>
  </pivotTables>
  <data>
    <olap pivotCacheId="1072022632">
      <levels count="2">
        <level uniqueName="[Sheet1].[Profit].[(All)]" sourceCaption="(All)" count="0"/>
        <level uniqueName="[Sheet1].[Profit].[Profit]" sourceCaption="Profit" count="1987">
          <ranges>
            <range startItem="0">
              <i n="[Sheet1].[Profit].&amp;[-2.6782E2]" c="-267.82"/>
              <i n="[Sheet1].[Profit].&amp;[-2.5853E2]" c="-258.53"/>
              <i n="[Sheet1].[Profit].&amp;[-2.2661E2]" c="-226.61"/>
              <i n="[Sheet1].[Profit].&amp;[-2.1708E2]" c="-217.08"/>
              <i n="[Sheet1].[Profit].&amp;[-2.1575E2]" c="-215.75"/>
              <i n="[Sheet1].[Profit].&amp;[-2.034E2]" c="-203.4"/>
              <i n="[Sheet1].[Profit].&amp;[-2.0131E2]" c="-201.31"/>
              <i n="[Sheet1].[Profit].&amp;[-1.9569E2]" c="-195.69"/>
              <i n="[Sheet1].[Profit].&amp;[-1.8155E2]" c="-181.55"/>
              <i n="[Sheet1].[Profit].&amp;[-1.8073E2]" c="-180.73"/>
              <i n="[Sheet1].[Profit].&amp;[-1.8052E2]" c="-180.52"/>
              <i n="[Sheet1].[Profit].&amp;[-1.7769E2]" c="-177.69"/>
              <i n="[Sheet1].[Profit].&amp;[-1.7526E2]" c="-175.26"/>
              <i n="[Sheet1].[Profit].&amp;[-1.7522E2]" c="-175.22"/>
              <i n="[Sheet1].[Profit].&amp;[-1.7405E2]" c="-174.05"/>
              <i n="[Sheet1].[Profit].&amp;[-1.7284E2]" c="-172.84"/>
              <i n="[Sheet1].[Profit].&amp;[-1.7217E2]" c="-172.17"/>
              <i n="[Sheet1].[Profit].&amp;[-1.6999E2]" c="-169.99"/>
              <i n="[Sheet1].[Profit].&amp;[-1.6475E2]" c="-164.75"/>
              <i n="[Sheet1].[Profit].&amp;[-1.6384E2]" c="-163.84"/>
              <i n="[Sheet1].[Profit].&amp;[-1.6351E2]" c="-163.51"/>
              <i n="[Sheet1].[Profit].&amp;[-1.6283E2]" c="-162.83"/>
              <i n="[Sheet1].[Profit].&amp;[-1.6239E2]" c="-162.39"/>
              <i n="[Sheet1].[Profit].&amp;[-1.6139E2]" c="-161.39"/>
              <i n="[Sheet1].[Profit].&amp;[-1.6087E2]" c="-160.87"/>
              <i n="[Sheet1].[Profit].&amp;[-1.5266E2]" c="-152.66"/>
              <i n="[Sheet1].[Profit].&amp;[-1.5161E2]" c="-151.61"/>
              <i n="[Sheet1].[Profit].&amp;[-1.5115E2]" c="-151.15"/>
              <i n="[Sheet1].[Profit].&amp;[-1.4666E2]" c="-146.66"/>
              <i n="[Sheet1].[Profit].&amp;[-1.46E2]" c="-146"/>
              <i n="[Sheet1].[Profit].&amp;[-1.4548E2]" c="-145.48"/>
              <i n="[Sheet1].[Profit].&amp;[-1.4442E2]" c="-144.42"/>
              <i n="[Sheet1].[Profit].&amp;[-1.4335E2]" c="-143.35"/>
              <i n="[Sheet1].[Profit].&amp;[-1.42E2]" c="-142"/>
              <i n="[Sheet1].[Profit].&amp;[-1.4019E2]" c="-140.19"/>
              <i n="[Sheet1].[Profit].&amp;[-1.3984E2]" c="-139.84"/>
              <i n="[Sheet1].[Profit].&amp;[-1.3975E2]" c="-139.75"/>
              <i n="[Sheet1].[Profit].&amp;[-1.3764E2]" c="-137.64"/>
              <i n="[Sheet1].[Profit].&amp;[-1.3747E2]" c="-137.47"/>
              <i n="[Sheet1].[Profit].&amp;[-1.371E2]" c="-137.1"/>
              <i n="[Sheet1].[Profit].&amp;[-1.3686E2]" c="-136.86"/>
              <i n="[Sheet1].[Profit].&amp;[-1.3548E2]" c="-135.48"/>
              <i n="[Sheet1].[Profit].&amp;[-1.3539E2]" c="-135.39"/>
              <i n="[Sheet1].[Profit].&amp;[-1.3326E2]" c="-133.26"/>
              <i n="[Sheet1].[Profit].&amp;[-1.3105E2]" c="-131.05"/>
              <i n="[Sheet1].[Profit].&amp;[-1.3036E2]" c="-130.36"/>
              <i n="[Sheet1].[Profit].&amp;[-1.2879E2]" c="-128.79"/>
              <i n="[Sheet1].[Profit].&amp;[-1.2799E2]" c="-127.99"/>
              <i n="[Sheet1].[Profit].&amp;[-1.2637E2]" c="-126.37"/>
              <i n="[Sheet1].[Profit].&amp;[-1.2525E2]" c="-125.25"/>
              <i n="[Sheet1].[Profit].&amp;[-1.2413E2]" c="-124.13"/>
              <i n="[Sheet1].[Profit].&amp;[-1.235E2]" c="-123.5"/>
              <i n="[Sheet1].[Profit].&amp;[-1.227E2]" c="-122.7"/>
              <i n="[Sheet1].[Profit].&amp;[-1.2247E2]" c="-122.47"/>
              <i n="[Sheet1].[Profit].&amp;[-1.2155E2]" c="-121.55"/>
              <i n="[Sheet1].[Profit].&amp;[-1.2109E2]" c="-121.09"/>
              <i n="[Sheet1].[Profit].&amp;[-1.207E2]" c="-120.7"/>
              <i n="[Sheet1].[Profit].&amp;[-1.2067E2]" c="-120.67"/>
              <i n="[Sheet1].[Profit].&amp;[-1.204E2]" c="-120.4"/>
              <i n="[Sheet1].[Profit].&amp;[-1.1848E2]" c="-118.48"/>
              <i n="[Sheet1].[Profit].&amp;[-1.1743E2]" c="-117.43"/>
              <i n="[Sheet1].[Profit].&amp;[-1.1721E2]" c="-117.21"/>
              <i n="[Sheet1].[Profit].&amp;[-1.1685E2]" c="-116.85"/>
              <i n="[Sheet1].[Profit].&amp;[-1.1581E2]" c="-115.81"/>
              <i n="[Sheet1].[Profit].&amp;[-1.1488E2]" c="-114.88"/>
              <i n="[Sheet1].[Profit].&amp;[-1.1401E2]" c="-114.01"/>
              <i n="[Sheet1].[Profit].&amp;[-1.1361E2]" c="-113.61"/>
              <i n="[Sheet1].[Profit].&amp;[-1.1319E2]" c="-113.19"/>
              <i n="[Sheet1].[Profit].&amp;[-1.1199E2]" c="-111.99"/>
              <i n="[Sheet1].[Profit].&amp;[-1.1152E2]" c="-111.52"/>
              <i n="[Sheet1].[Profit].&amp;[-1.0758E2]" c="-107.58"/>
              <i n="[Sheet1].[Profit].&amp;[-1.0605E2]" c="-106.05"/>
              <i n="[Sheet1].[Profit].&amp;[-1.0546E2]" c="-105.46"/>
              <i n="[Sheet1].[Profit].&amp;[-1.0539E2]" c="-105.39"/>
              <i n="[Sheet1].[Profit].&amp;[-1.0534E2]" c="-105.34"/>
              <i n="[Sheet1].[Profit].&amp;[-1.0518E2]" c="-105.18"/>
              <i n="[Sheet1].[Profit].&amp;[-1.039E2]" c="-103.9"/>
              <i n="[Sheet1].[Profit].&amp;[-1.0278E2]" c="-102.78"/>
              <i n="[Sheet1].[Profit].&amp;[-1.0211E2]" c="-102.11"/>
              <i n="[Sheet1].[Profit].&amp;[-1.0198E2]" c="-101.98"/>
              <i n="[Sheet1].[Profit].&amp;[-1.0116E2]" c="-101.16"/>
              <i n="[Sheet1].[Profit].&amp;[-1.0109E2]" c="-101.09"/>
              <i n="[Sheet1].[Profit].&amp;[-1.0097E2]" c="-100.97"/>
              <i n="[Sheet1].[Profit].&amp;[-1.0094E2]" c="-100.94"/>
              <i n="[Sheet1].[Profit].&amp;[-9.977E1]" c="-99.77"/>
              <i n="[Sheet1].[Profit].&amp;[-9.879E1]" c="-98.79"/>
              <i n="[Sheet1].[Profit].&amp;[-9.836E1]" c="-98.36"/>
              <i n="[Sheet1].[Profit].&amp;[-9.814E1]" c="-98.14"/>
              <i n="[Sheet1].[Profit].&amp;[-9.802E1]" c="-98.02"/>
              <i n="[Sheet1].[Profit].&amp;[-9.785E1]" c="-97.85"/>
              <i n="[Sheet1].[Profit].&amp;[-9.775E1]" c="-97.75"/>
              <i n="[Sheet1].[Profit].&amp;[-9.754E1]" c="-97.54"/>
              <i n="[Sheet1].[Profit].&amp;[-9.545E1]" c="-95.45"/>
              <i n="[Sheet1].[Profit].&amp;[-9.523E1]" c="-95.23"/>
              <i n="[Sheet1].[Profit].&amp;[-9.5E1]" c="-95"/>
              <i n="[Sheet1].[Profit].&amp;[-9.436E1]" c="-94.36"/>
              <i n="[Sheet1].[Profit].&amp;[-9.411E1]" c="-94.11"/>
              <i n="[Sheet1].[Profit].&amp;[-9.393E1]" c="-93.93"/>
              <i n="[Sheet1].[Profit].&amp;[-9.39E1]" c="-93.9"/>
              <i n="[Sheet1].[Profit].&amp;[-9.322E1]" c="-93.22"/>
              <i n="[Sheet1].[Profit].&amp;[-9.3E1]" c="-93"/>
              <i n="[Sheet1].[Profit].&amp;[-9.257E1]" c="-92.57"/>
              <i n="[Sheet1].[Profit].&amp;[-9.209E1]" c="-92.09"/>
              <i n="[Sheet1].[Profit].&amp;[-9.206E1]" c="-92.06"/>
              <i n="[Sheet1].[Profit].&amp;[-9.09E1]" c="-90.9"/>
              <i n="[Sheet1].[Profit].&amp;[-9.088E1]" c="-90.88"/>
              <i n="[Sheet1].[Profit].&amp;[-9.056E1]" c="-90.56"/>
              <i n="[Sheet1].[Profit].&amp;[-9.038E1]" c="-90.38"/>
              <i n="[Sheet1].[Profit].&amp;[-8.975E1]" c="-89.75"/>
              <i n="[Sheet1].[Profit].&amp;[-8.966E1]" c="-89.66"/>
              <i n="[Sheet1].[Profit].&amp;[-8.947E1]" c="-89.47"/>
              <i n="[Sheet1].[Profit].&amp;[-8.939E1]" c="-89.39"/>
              <i n="[Sheet1].[Profit].&amp;[-8.857E1]" c="-88.57"/>
              <i n="[Sheet1].[Profit].&amp;[-8.856E1]" c="-88.56"/>
              <i n="[Sheet1].[Profit].&amp;[-8.645E1]" c="-86.45"/>
              <i n="[Sheet1].[Profit].&amp;[-8.642E1]" c="-86.42"/>
              <i n="[Sheet1].[Profit].&amp;[-8.601E1]" c="-86.01"/>
              <i n="[Sheet1].[Profit].&amp;[-8.568E1]" c="-85.68"/>
              <i n="[Sheet1].[Profit].&amp;[-8.567E1]" c="-85.67"/>
              <i n="[Sheet1].[Profit].&amp;[-8.447E1]" c="-84.47"/>
              <i n="[Sheet1].[Profit].&amp;[-8.353E1]" c="-83.53"/>
              <i n="[Sheet1].[Profit].&amp;[-8.332E1]" c="-83.32"/>
              <i n="[Sheet1].[Profit].&amp;[-8.291E1]" c="-82.91"/>
              <i n="[Sheet1].[Profit].&amp;[-8.281E1]" c="-82.81"/>
              <i n="[Sheet1].[Profit].&amp;[-8.275E1]" c="-82.75"/>
              <i n="[Sheet1].[Profit].&amp;[-8.261E1]" c="-82.61"/>
              <i n="[Sheet1].[Profit].&amp;[-8.241E1]" c="-82.41"/>
              <i n="[Sheet1].[Profit].&amp;[-8.197E1]" c="-81.97"/>
              <i n="[Sheet1].[Profit].&amp;[-8.19E1]" c="-81.9"/>
              <i n="[Sheet1].[Profit].&amp;[-8.182E1]" c="-81.82"/>
              <i n="[Sheet1].[Profit].&amp;[-8.122E1]" c="-81.22"/>
              <i n="[Sheet1].[Profit].&amp;[-8.102E1]" c="-81.02"/>
              <i n="[Sheet1].[Profit].&amp;[-8.027E1]" c="-80.27"/>
              <i n="[Sheet1].[Profit].&amp;[-7.9E1]" c="-79"/>
              <i n="[Sheet1].[Profit].&amp;[-7.898E1]" c="-78.98"/>
              <i n="[Sheet1].[Profit].&amp;[-7.894E1]" c="-78.94"/>
              <i n="[Sheet1].[Profit].&amp;[-7.871E1]" c="-78.71"/>
              <i n="[Sheet1].[Profit].&amp;[-7.843E1]" c="-78.43"/>
              <i n="[Sheet1].[Profit].&amp;[-7.591E1]" c="-75.91"/>
              <i n="[Sheet1].[Profit].&amp;[-7.51E1]" c="-75.1"/>
              <i n="[Sheet1].[Profit].&amp;[-7.477E1]" c="-74.77"/>
              <i n="[Sheet1].[Profit].&amp;[-7.371E1]" c="-73.71"/>
              <i n="[Sheet1].[Profit].&amp;[-7.329E1]" c="-73.29"/>
              <i n="[Sheet1].[Profit].&amp;[-7.251E1]" c="-72.51"/>
              <i n="[Sheet1].[Profit].&amp;[-7.164E1]" c="-71.64"/>
              <i n="[Sheet1].[Profit].&amp;[-7.152E1]" c="-71.52"/>
              <i n="[Sheet1].[Profit].&amp;[-7.114E1]" c="-71.14"/>
              <i n="[Sheet1].[Profit].&amp;[-7.102E1]" c="-71.02"/>
              <i n="[Sheet1].[Profit].&amp;[-7.06E1]" c="-70.6"/>
              <i n="[Sheet1].[Profit].&amp;[-6.941E1]" c="-69.41"/>
              <i n="[Sheet1].[Profit].&amp;[-6.913E1]" c="-69.13"/>
              <i n="[Sheet1].[Profit].&amp;[-6.88E1]" c="-68.8"/>
              <i n="[Sheet1].[Profit].&amp;[-6.738E1]" c="-67.38"/>
              <i n="[Sheet1].[Profit].&amp;[-6.416E1]" c="-64.16"/>
              <i n="[Sheet1].[Profit].&amp;[-6.37E1]" c="-63.7"/>
              <i n="[Sheet1].[Profit].&amp;[-6.358E1]" c="-63.58"/>
              <i n="[Sheet1].[Profit].&amp;[-6.327E1]" c="-63.27"/>
              <i n="[Sheet1].[Profit].&amp;[-6.316E1]" c="-63.16"/>
              <i n="[Sheet1].[Profit].&amp;[-6.313E1]" c="-63.13"/>
              <i n="[Sheet1].[Profit].&amp;[-6.267E1]" c="-62.67"/>
              <i n="[Sheet1].[Profit].&amp;[-6.145E1]" c="-61.45"/>
              <i n="[Sheet1].[Profit].&amp;[-6.134E1]" c="-61.34"/>
              <i n="[Sheet1].[Profit].&amp;[-6.085E1]" c="-60.85"/>
              <i n="[Sheet1].[Profit].&amp;[-5.999E1]" c="-59.99"/>
              <i n="[Sheet1].[Profit].&amp;[-5.83E1]" c="-58.3"/>
              <i n="[Sheet1].[Profit].&amp;[-5.762E1]" c="-57.62"/>
              <i n="[Sheet1].[Profit].&amp;[-5.719E1]" c="-57.19"/>
              <i n="[Sheet1].[Profit].&amp;[-5.657E1]" c="-56.57"/>
              <i n="[Sheet1].[Profit].&amp;[-5.615E1]" c="-56.15"/>
              <i n="[Sheet1].[Profit].&amp;[-5.529E1]" c="-55.29"/>
              <i n="[Sheet1].[Profit].&amp;[-5.521E1]" c="-55.21"/>
              <i n="[Sheet1].[Profit].&amp;[-5.513E1]" c="-55.13"/>
              <i n="[Sheet1].[Profit].&amp;[-5.489E1]" c="-54.89"/>
              <i n="[Sheet1].[Profit].&amp;[-5.487E1]" c="-54.87"/>
              <i n="[Sheet1].[Profit].&amp;[-5.284E1]" c="-52.84"/>
              <i n="[Sheet1].[Profit].&amp;[-5.257E1]" c="-52.57"/>
              <i n="[Sheet1].[Profit].&amp;[-5.183E1]" c="-51.83"/>
              <i n="[Sheet1].[Profit].&amp;[-5.163E1]" c="-51.63"/>
              <i n="[Sheet1].[Profit].&amp;[-5.141E1]" c="-51.41"/>
              <i n="[Sheet1].[Profit].&amp;[-5.07E1]" c="-50.7"/>
              <i n="[Sheet1].[Profit].&amp;[-5.006E1]" c="-50.06"/>
              <i n="[Sheet1].[Profit].&amp;[-4.953E1]" c="-49.53"/>
              <i n="[Sheet1].[Profit].&amp;[-4.913E1]" c="-49.13"/>
              <i n="[Sheet1].[Profit].&amp;[-4.879E1]" c="-48.79"/>
              <i n="[Sheet1].[Profit].&amp;[-4.86E1]" c="-48.6"/>
              <i n="[Sheet1].[Profit].&amp;[-4.851E1]" c="-48.51"/>
              <i n="[Sheet1].[Profit].&amp;[-4.821E1]" c="-48.21"/>
              <i n="[Sheet1].[Profit].&amp;[-4.783E1]" c="-47.83"/>
              <i n="[Sheet1].[Profit].&amp;[-4.718E1]" c="-47.18"/>
              <i n="[Sheet1].[Profit].&amp;[-4.71E1]" c="-47.1"/>
              <i n="[Sheet1].[Profit].&amp;[-4.68E1]" c="-46.8"/>
              <i n="[Sheet1].[Profit].&amp;[-4.676E1]" c="-46.76"/>
              <i n="[Sheet1].[Profit].&amp;[-4.65E1]" c="-46.5"/>
              <i n="[Sheet1].[Profit].&amp;[-4.575E1]" c="-45.75"/>
              <i n="[Sheet1].[Profit].&amp;[-4.508E1]" c="-45.08"/>
              <i n="[Sheet1].[Profit].&amp;[-4.483E1]" c="-44.83"/>
              <i n="[Sheet1].[Profit].&amp;[-4.356E1]" c="-43.56"/>
              <i n="[Sheet1].[Profit].&amp;[-4.322E1]" c="-43.22"/>
              <i n="[Sheet1].[Profit].&amp;[-4.319E1]" c="-43.19"/>
              <i n="[Sheet1].[Profit].&amp;[-4.04E1]" c="-40.4"/>
              <i n="[Sheet1].[Profit].&amp;[-3.944E1]" c="-39.44"/>
              <i n="[Sheet1].[Profit].&amp;[-3.922E1]" c="-39.22"/>
              <i n="[Sheet1].[Profit].&amp;[-3.92E1]" c="-39.2"/>
              <i n="[Sheet1].[Profit].&amp;[-3.903E1]" c="-39.03"/>
              <i n="[Sheet1].[Profit].&amp;[-3.883E1]" c="-38.83"/>
              <i n="[Sheet1].[Profit].&amp;[-3.8E1]" c="-38"/>
              <i n="[Sheet1].[Profit].&amp;[-3.633E1]" c="-36.33"/>
              <i n="[Sheet1].[Profit].&amp;[-3.585E1]" c="-35.85"/>
              <i n="[Sheet1].[Profit].&amp;[-3.574E1]" c="-35.74"/>
              <i n="[Sheet1].[Profit].&amp;[-3.563E1]" c="-35.63"/>
              <i n="[Sheet1].[Profit].&amp;[-3.526E1]" c="-35.26"/>
              <i n="[Sheet1].[Profit].&amp;[-3.504E1]" c="-35.04"/>
              <i n="[Sheet1].[Profit].&amp;[-3.491E1]" c="-34.91"/>
              <i n="[Sheet1].[Profit].&amp;[-3.452E1]" c="-34.52"/>
              <i n="[Sheet1].[Profit].&amp;[-3.447E1]" c="-34.47"/>
              <i n="[Sheet1].[Profit].&amp;[-3.338E1]" c="-33.38"/>
              <i n="[Sheet1].[Profit].&amp;[-3.271E1]" c="-32.71"/>
              <i n="[Sheet1].[Profit].&amp;[-3.251E1]" c="-32.51"/>
              <i n="[Sheet1].[Profit].&amp;[-3.189E1]" c="-31.89"/>
              <i n="[Sheet1].[Profit].&amp;[-3.124E1]" c="-31.24"/>
              <i n="[Sheet1].[Profit].&amp;[-3.109E1]" c="-31.09"/>
              <i n="[Sheet1].[Profit].&amp;[-3.057E1]" c="-30.57"/>
              <i n="[Sheet1].[Profit].&amp;[-3.013E1]" c="-30.13"/>
              <i n="[Sheet1].[Profit].&amp;[-3.011E1]" c="-30.11"/>
              <i n="[Sheet1].[Profit].&amp;[-2.929E1]" c="-29.29"/>
              <i n="[Sheet1].[Profit].&amp;[-2.914E1]" c="-29.14"/>
              <i n="[Sheet1].[Profit].&amp;[-2.855E1]" c="-28.55"/>
              <i n="[Sheet1].[Profit].&amp;[-2.8E1]" c="-28"/>
              <i n="[Sheet1].[Profit].&amp;[-2.77E1]" c="-27.7"/>
              <i n="[Sheet1].[Profit].&amp;[-2.762E1]" c="-27.62"/>
              <i n="[Sheet1].[Profit].&amp;[-2.722E1]" c="-27.22"/>
              <i n="[Sheet1].[Profit].&amp;[-2.624E1]" c="-26.24"/>
              <i n="[Sheet1].[Profit].&amp;[-2.596E1]" c="-25.96"/>
              <i n="[Sheet1].[Profit].&amp;[-2.585E1]" c="-25.85"/>
              <i n="[Sheet1].[Profit].&amp;[-2.572E1]" c="-25.72"/>
              <i n="[Sheet1].[Profit].&amp;[-2.55E1]" c="-25.5"/>
              <i n="[Sheet1].[Profit].&amp;[-2.537E1]" c="-25.37"/>
              <i n="[Sheet1].[Profit].&amp;[-2.536E1]" c="-25.36"/>
              <i n="[Sheet1].[Profit].&amp;[-2.464E1]" c="-24.64"/>
              <i n="[Sheet1].[Profit].&amp;[-2.346E1]" c="-23.46"/>
              <i n="[Sheet1].[Profit].&amp;[-2.308E1]" c="-23.08"/>
              <i n="[Sheet1].[Profit].&amp;[-2.255E1]" c="-22.55"/>
              <i n="[Sheet1].[Profit].&amp;[-2.213E1]" c="-22.13"/>
              <i n="[Sheet1].[Profit].&amp;[-2.199E1]" c="-21.99"/>
              <i n="[Sheet1].[Profit].&amp;[-2.163E1]" c="-21.63"/>
              <i n="[Sheet1].[Profit].&amp;[-2.129E1]" c="-21.29"/>
              <i n="[Sheet1].[Profit].&amp;[-2.105E1]" c="-21.05"/>
              <i n="[Sheet1].[Profit].&amp;[-2.1E1]" c="-21"/>
              <i n="[Sheet1].[Profit].&amp;[-2.062E1]" c="-20.62"/>
              <i n="[Sheet1].[Profit].&amp;[-2.038E1]" c="-20.38"/>
              <i n="[Sheet1].[Profit].&amp;[-2.025E1]" c="-20.25"/>
              <i n="[Sheet1].[Profit].&amp;[-2.017E1]" c="-20.17"/>
              <i n="[Sheet1].[Profit].&amp;[-2.014E1]" c="-20.14"/>
              <i n="[Sheet1].[Profit].&amp;[-1.981E1]" c="-19.81"/>
              <i n="[Sheet1].[Profit].&amp;[-1.927E1]" c="-19.27"/>
              <i n="[Sheet1].[Profit].&amp;[-1.833E1]" c="-18.33"/>
              <i n="[Sheet1].[Profit].&amp;[-1.806E1]" c="-18.06"/>
              <i n="[Sheet1].[Profit].&amp;[-1.801E1]" c="-18.01"/>
              <i n="[Sheet1].[Profit].&amp;[-1.742E1]" c="-17.42"/>
              <i n="[Sheet1].[Profit].&amp;[-1.703E1]" c="-17.03"/>
              <i n="[Sheet1].[Profit].&amp;[-1.519E1]" c="-15.19"/>
              <i n="[Sheet1].[Profit].&amp;[-1.479E1]" c="-14.79"/>
              <i n="[Sheet1].[Profit].&amp;[-1.398E1]" c="-13.98"/>
              <i n="[Sheet1].[Profit].&amp;[-1.353E1]" c="-13.53"/>
              <i n="[Sheet1].[Profit].&amp;[-1.285E1]" c="-12.85"/>
              <i n="[Sheet1].[Profit].&amp;[-1.263E1]" c="-12.63"/>
              <i n="[Sheet1].[Profit].&amp;[-1.262E1]" c="-12.62"/>
              <i n="[Sheet1].[Profit].&amp;[-1.238E1]" c="-12.38"/>
              <i n="[Sheet1].[Profit].&amp;[-1.233E1]" c="-12.33"/>
              <i n="[Sheet1].[Profit].&amp;[-1.198E1]" c="-11.98"/>
              <i n="[Sheet1].[Profit].&amp;[-1.188E1]" c="-11.88"/>
              <i n="[Sheet1].[Profit].&amp;[-1.184E1]" c="-11.84"/>
              <i n="[Sheet1].[Profit].&amp;[-1.176E1]" c="-11.76"/>
              <i n="[Sheet1].[Profit].&amp;[-1.137E1]" c="-11.37"/>
              <i n="[Sheet1].[Profit].&amp;[-1.128E1]" c="-11.28"/>
              <i n="[Sheet1].[Profit].&amp;[-1.07E1]" c="-10.7"/>
              <i n="[Sheet1].[Profit].&amp;[-9.53]" c="-9.53"/>
              <i n="[Sheet1].[Profit].&amp;[-9.44]" c="-9.44"/>
              <i n="[Sheet1].[Profit].&amp;[-8.73]" c="-8.73"/>
              <i n="[Sheet1].[Profit].&amp;[-8.65]" c="-8.65"/>
              <i n="[Sheet1].[Profit].&amp;[-8.49]" c="-8.49"/>
              <i n="[Sheet1].[Profit].&amp;[-8.46]" c="-8.46"/>
              <i n="[Sheet1].[Profit].&amp;[-8.26]" c="-8.26"/>
              <i n="[Sheet1].[Profit].&amp;[-7.1]" c="-7.1"/>
              <i n="[Sheet1].[Profit].&amp;[-6.77]" c="-6.77"/>
              <i n="[Sheet1].[Profit].&amp;[-6.58]" c="-6.58"/>
              <i n="[Sheet1].[Profit].&amp;[-6.25]" c="-6.25"/>
              <i n="[Sheet1].[Profit].&amp;[-5.45]" c="-5.45"/>
              <i n="[Sheet1].[Profit].&amp;[-4.71]" c="-4.71"/>
              <i n="[Sheet1].[Profit].&amp;[-4.14]" c="-4.14"/>
              <i n="[Sheet1].[Profit].&amp;[-3.82]" c="-3.82"/>
              <i n="[Sheet1].[Profit].&amp;[-3.73]" c="-3.73"/>
              <i n="[Sheet1].[Profit].&amp;[-3.56]" c="-3.56"/>
              <i n="[Sheet1].[Profit].&amp;[-3.12]" c="-3.12"/>
              <i n="[Sheet1].[Profit].&amp;[-2.79]" c="-2.79"/>
              <i n="[Sheet1].[Profit].&amp;[-2.58]" c="-2.58"/>
              <i n="[Sheet1].[Profit].&amp;[-2.34]" c="-2.34"/>
              <i n="[Sheet1].[Profit].&amp;[-2.27]" c="-2.27"/>
              <i n="[Sheet1].[Profit].&amp;[-1.73]" c="-1.73"/>
              <i n="[Sheet1].[Profit].&amp;[-1.46]" c="-1.46"/>
              <i n="[Sheet1].[Profit].&amp;[-7.6E-1]" c="-0.76"/>
              <i n="[Sheet1].[Profit].&amp;[-5.6E-1]" c="-0.56"/>
              <i n="[Sheet1].[Profit].&amp;[-2.E-2]" c="-0.02"/>
              <i n="[Sheet1].[Profit].&amp;[1.5E-1]" c="0.15"/>
              <i n="[Sheet1].[Profit].&amp;[2.2E-1]" c="0.22"/>
              <i n="[Sheet1].[Profit].&amp;[3.7E-1]" c="0.37"/>
              <i n="[Sheet1].[Profit].&amp;[3.8E-1]" c="0.38"/>
              <i n="[Sheet1].[Profit].&amp;[8.3E-1]" c="0.83"/>
              <i n="[Sheet1].[Profit].&amp;[8.8E-1]" c="0.88"/>
              <i n="[Sheet1].[Profit].&amp;[1.34]" c="1.34"/>
              <i n="[Sheet1].[Profit].&amp;[1.37]" c="1.37"/>
              <i n="[Sheet1].[Profit].&amp;[2.07]" c="2.07"/>
              <i n="[Sheet1].[Profit].&amp;[2.18]" c="2.18"/>
              <i n="[Sheet1].[Profit].&amp;[2.2]" c="2.2"/>
              <i n="[Sheet1].[Profit].&amp;[2.5]" c="2.5"/>
              <i n="[Sheet1].[Profit].&amp;[2.96]" c="2.96"/>
              <i n="[Sheet1].[Profit].&amp;[3.67]" c="3.67"/>
              <i n="[Sheet1].[Profit].&amp;[4.41]" c="4.41"/>
              <i n="[Sheet1].[Profit].&amp;[4.62]" c="4.62"/>
              <i n="[Sheet1].[Profit].&amp;[4.8]" c="4.8"/>
              <i n="[Sheet1].[Profit].&amp;[5.05]" c="5.05"/>
              <i n="[Sheet1].[Profit].&amp;[5.47]" c="5.47"/>
              <i n="[Sheet1].[Profit].&amp;[6.21]" c="6.21"/>
              <i n="[Sheet1].[Profit].&amp;[6.61]" c="6.61"/>
              <i n="[Sheet1].[Profit].&amp;[7.09]" c="7.09"/>
              <i n="[Sheet1].[Profit].&amp;[7.9]" c="7.9"/>
              <i n="[Sheet1].[Profit].&amp;[8.01]" c="8.01"/>
              <i n="[Sheet1].[Profit].&amp;[8.66]" c="8.66"/>
              <i n="[Sheet1].[Profit].&amp;[8.67]" c="8.67"/>
              <i n="[Sheet1].[Profit].&amp;[9.01]" c="9.01"/>
              <i n="[Sheet1].[Profit].&amp;[9.42]" c="9.42"/>
              <i n="[Sheet1].[Profit].&amp;[9.53]" c="9.53"/>
              <i n="[Sheet1].[Profit].&amp;[1.053E1]" c="10.53"/>
              <i n="[Sheet1].[Profit].&amp;[1.078E1]" c="10.78"/>
              <i n="[Sheet1].[Profit].&amp;[1.116E1]" c="11.16"/>
              <i n="[Sheet1].[Profit].&amp;[1.143E1]" c="11.43"/>
              <i n="[Sheet1].[Profit].&amp;[1.158E1]" c="11.58"/>
              <i n="[Sheet1].[Profit].&amp;[1.245E1]" c="12.45"/>
              <i n="[Sheet1].[Profit].&amp;[1.399E1]" c="13.99"/>
              <i n="[Sheet1].[Profit].&amp;[1.428E1]" c="14.28"/>
              <i n="[Sheet1].[Profit].&amp;[1.468E1]" c="14.68"/>
              <i n="[Sheet1].[Profit].&amp;[1.544E1]" c="15.44"/>
              <i n="[Sheet1].[Profit].&amp;[1.565E1]" c="15.65"/>
              <i n="[Sheet1].[Profit].&amp;[1.58E1]" c="15.8"/>
              <i n="[Sheet1].[Profit].&amp;[1.611E1]" c="16.11"/>
              <i n="[Sheet1].[Profit].&amp;[1.628E1]" c="16.28"/>
              <i n="[Sheet1].[Profit].&amp;[1.648E1]" c="16.48"/>
              <i n="[Sheet1].[Profit].&amp;[1.661E1]" c="16.61"/>
              <i n="[Sheet1].[Profit].&amp;[1.662E1]" c="16.62"/>
              <i n="[Sheet1].[Profit].&amp;[1.664E1]" c="16.64"/>
              <i n="[Sheet1].[Profit].&amp;[1.698E1]" c="16.98"/>
              <i n="[Sheet1].[Profit].&amp;[1.703E1]" c="17.03"/>
              <i n="[Sheet1].[Profit].&amp;[1.783E1]" c="17.83"/>
              <i n="[Sheet1].[Profit].&amp;[1.789E1]" c="17.89"/>
              <i n="[Sheet1].[Profit].&amp;[1.807E1]" c="18.07"/>
              <i n="[Sheet1].[Profit].&amp;[1.816E1]" c="18.16"/>
              <i n="[Sheet1].[Profit].&amp;[1.828E1]" c="18.28"/>
              <i n="[Sheet1].[Profit].&amp;[1.927E1]" c="19.27"/>
              <i n="[Sheet1].[Profit].&amp;[1.95E1]" c="19.5"/>
              <i n="[Sheet1].[Profit].&amp;[1.955E1]" c="19.55"/>
              <i n="[Sheet1].[Profit].&amp;[1.957E1]" c="19.57"/>
              <i n="[Sheet1].[Profit].&amp;[1.965E1]" c="19.65"/>
              <i n="[Sheet1].[Profit].&amp;[1.966E1]" c="19.66"/>
              <i n="[Sheet1].[Profit].&amp;[1.982E1]" c="19.82"/>
              <i n="[Sheet1].[Profit].&amp;[1.995E1]" c="19.95"/>
              <i n="[Sheet1].[Profit].&amp;[2.05E1]" c="20.5"/>
              <i n="[Sheet1].[Profit].&amp;[2.063E1]" c="20.63"/>
              <i n="[Sheet1].[Profit].&amp;[2.126E1]" c="21.26"/>
              <i n="[Sheet1].[Profit].&amp;[2.153E1]" c="21.53"/>
              <i n="[Sheet1].[Profit].&amp;[2.208E1]" c="22.08"/>
              <i n="[Sheet1].[Profit].&amp;[2.211E1]" c="22.11"/>
              <i n="[Sheet1].[Profit].&amp;[2.252E1]" c="22.52"/>
              <i n="[Sheet1].[Profit].&amp;[2.292E1]" c="22.92"/>
              <i n="[Sheet1].[Profit].&amp;[2.333E1]" c="23.33"/>
              <i n="[Sheet1].[Profit].&amp;[2.339E1]" c="23.39"/>
              <i n="[Sheet1].[Profit].&amp;[2.354E1]" c="23.54"/>
              <i n="[Sheet1].[Profit].&amp;[2.365E1]" c="23.65"/>
              <i n="[Sheet1].[Profit].&amp;[2.444E1]" c="24.44"/>
              <i n="[Sheet1].[Profit].&amp;[2.517E1]" c="25.17"/>
              <i n="[Sheet1].[Profit].&amp;[2.52E1]" c="25.2"/>
              <i n="[Sheet1].[Profit].&amp;[2.521E1]" c="25.21"/>
              <i n="[Sheet1].[Profit].&amp;[2.539E1]" c="25.39"/>
              <i n="[Sheet1].[Profit].&amp;[2.579E1]" c="25.79"/>
              <i n="[Sheet1].[Profit].&amp;[2.591E1]" c="25.91"/>
              <i n="[Sheet1].[Profit].&amp;[2.598E1]" c="25.98"/>
              <i n="[Sheet1].[Profit].&amp;[2.632E1]" c="26.32"/>
              <i n="[Sheet1].[Profit].&amp;[2.667E1]" c="26.67"/>
              <i n="[Sheet1].[Profit].&amp;[2.772E1]" c="27.72"/>
              <i n="[Sheet1].[Profit].&amp;[2.81E1]" c="28.1"/>
              <i n="[Sheet1].[Profit].&amp;[2.828E1]" c="28.28"/>
              <i n="[Sheet1].[Profit].&amp;[2.883E1]" c="28.83"/>
              <i n="[Sheet1].[Profit].&amp;[2.932E1]" c="29.32"/>
              <i n="[Sheet1].[Profit].&amp;[3.014E1]" c="30.14"/>
              <i n="[Sheet1].[Profit].&amp;[3.07E1]" c="30.7"/>
              <i n="[Sheet1].[Profit].&amp;[3.137E1]" c="31.37"/>
              <i n="[Sheet1].[Profit].&amp;[3.162E1]" c="31.62"/>
              <i n="[Sheet1].[Profit].&amp;[3.229E1]" c="32.29"/>
              <i n="[Sheet1].[Profit].&amp;[3.331E1]" c="33.31"/>
              <i n="[Sheet1].[Profit].&amp;[3.337E1]" c="33.37"/>
              <i n="[Sheet1].[Profit].&amp;[3.391E1]" c="33.91"/>
              <i n="[Sheet1].[Profit].&amp;[3.396E1]" c="33.96"/>
              <i n="[Sheet1].[Profit].&amp;[3.408E1]" c="34.08"/>
              <i n="[Sheet1].[Profit].&amp;[3.412E1]" c="34.12"/>
              <i n="[Sheet1].[Profit].&amp;[3.442E1]" c="34.42"/>
              <i n="[Sheet1].[Profit].&amp;[3.47E1]" c="34.7"/>
              <i n="[Sheet1].[Profit].&amp;[3.496E1]" c="34.96"/>
              <i n="[Sheet1].[Profit].&amp;[3.497E1]" c="34.97"/>
              <i n="[Sheet1].[Profit].&amp;[3.51E1]" c="35.1"/>
              <i n="[Sheet1].[Profit].&amp;[3.546E1]" c="35.46"/>
              <i n="[Sheet1].[Profit].&amp;[3.638E1]" c="36.38"/>
              <i n="[Sheet1].[Profit].&amp;[3.64E1]" c="36.4"/>
              <i n="[Sheet1].[Profit].&amp;[3.666E1]" c="36.66"/>
              <i n="[Sheet1].[Profit].&amp;[3.697E1]" c="36.97"/>
              <i n="[Sheet1].[Profit].&amp;[3.7E1]" c="37"/>
              <i n="[Sheet1].[Profit].&amp;[3.804E1]" c="38.04"/>
              <i n="[Sheet1].[Profit].&amp;[3.826E1]" c="38.26"/>
              <i n="[Sheet1].[Profit].&amp;[3.83E1]" c="38.3"/>
              <i n="[Sheet1].[Profit].&amp;[3.834E1]" c="38.34"/>
              <i n="[Sheet1].[Profit].&amp;[3.838E1]" c="38.38"/>
              <i n="[Sheet1].[Profit].&amp;[3.865E1]" c="38.65"/>
              <i n="[Sheet1].[Profit].&amp;[3.874E1]" c="38.74"/>
              <i n="[Sheet1].[Profit].&amp;[3.916E1]" c="39.16"/>
              <i n="[Sheet1].[Profit].&amp;[3.938E1]" c="39.38"/>
              <i n="[Sheet1].[Profit].&amp;[3.989E1]" c="39.89"/>
              <i n="[Sheet1].[Profit].&amp;[4.047E1]" c="40.47"/>
              <i n="[Sheet1].[Profit].&amp;[4.052E1]" c="40.52"/>
              <i n="[Sheet1].[Profit].&amp;[4.075E1]" c="40.75"/>
              <i n="[Sheet1].[Profit].&amp;[4.128E1]" c="41.28"/>
              <i n="[Sheet1].[Profit].&amp;[4.158E1]" c="41.58"/>
              <i n="[Sheet1].[Profit].&amp;[4.201E1]" c="42.01"/>
              <i n="[Sheet1].[Profit].&amp;[4.21E1]" c="42.1"/>
              <i n="[Sheet1].[Profit].&amp;[4.215E1]" c="42.15"/>
              <i n="[Sheet1].[Profit].&amp;[4.237E1]" c="42.37"/>
              <i n="[Sheet1].[Profit].&amp;[4.287E1]" c="42.87"/>
              <i n="[Sheet1].[Profit].&amp;[4.294E1]" c="42.94"/>
              <i n="[Sheet1].[Profit].&amp;[4.333E1]" c="43.33"/>
              <i n="[Sheet1].[Profit].&amp;[4.374E1]" c="43.74"/>
              <i n="[Sheet1].[Profit].&amp;[4.418E1]" c="44.18"/>
              <i n="[Sheet1].[Profit].&amp;[4.429E1]" c="44.29"/>
              <i n="[Sheet1].[Profit].&amp;[4.485E1]" c="44.85"/>
              <i n="[Sheet1].[Profit].&amp;[4.608E1]" c="46.08"/>
              <i n="[Sheet1].[Profit].&amp;[4.647E1]" c="46.47"/>
              <i n="[Sheet1].[Profit].&amp;[4.708E1]" c="47.08"/>
              <i n="[Sheet1].[Profit].&amp;[4.722E1]" c="47.22"/>
              <i n="[Sheet1].[Profit].&amp;[4.741E1]" c="47.41"/>
              <i n="[Sheet1].[Profit].&amp;[4.757E1]" c="47.57"/>
              <i n="[Sheet1].[Profit].&amp;[4.818E1]" c="48.18"/>
              <i n="[Sheet1].[Profit].&amp;[4.831E1]" c="48.31"/>
              <i n="[Sheet1].[Profit].&amp;[4.834E1]" c="48.34"/>
              <i n="[Sheet1].[Profit].&amp;[4.84E1]" c="48.4"/>
              <i n="[Sheet1].[Profit].&amp;[4.864E1]" c="48.64"/>
              <i n="[Sheet1].[Profit].&amp;[4.9E1]" c="49"/>
              <i n="[Sheet1].[Profit].&amp;[4.917E1]" c="49.17"/>
              <i n="[Sheet1].[Profit].&amp;[4.985E1]" c="49.85"/>
              <i n="[Sheet1].[Profit].&amp;[5.06E1]" c="50.6"/>
              <i n="[Sheet1].[Profit].&amp;[5.076E1]" c="50.76"/>
              <i n="[Sheet1].[Profit].&amp;[5.131E1]" c="51.31"/>
              <i n="[Sheet1].[Profit].&amp;[5.168E1]" c="51.68"/>
              <i n="[Sheet1].[Profit].&amp;[5.2E1]" c="52"/>
              <i n="[Sheet1].[Profit].&amp;[5.211E1]" c="52.11"/>
              <i n="[Sheet1].[Profit].&amp;[5.232E1]" c="52.32"/>
              <i n="[Sheet1].[Profit].&amp;[5.258E1]" c="52.58"/>
              <i n="[Sheet1].[Profit].&amp;[5.273E1]" c="52.73"/>
              <i n="[Sheet1].[Profit].&amp;[5.322E1]" c="53.22"/>
              <i n="[Sheet1].[Profit].&amp;[5.377E1]" c="53.77"/>
              <i n="[Sheet1].[Profit].&amp;[5.396E1]" c="53.96"/>
              <i n="[Sheet1].[Profit].&amp;[5.409E1]" c="54.09"/>
              <i n="[Sheet1].[Profit].&amp;[5.434E1]" c="54.34"/>
              <i n="[Sheet1].[Profit].&amp;[5.439E1]" c="54.39"/>
              <i n="[Sheet1].[Profit].&amp;[5.522E1]" c="55.22"/>
              <i n="[Sheet1].[Profit].&amp;[5.536E1]" c="55.36"/>
              <i n="[Sheet1].[Profit].&amp;[5.587E1]" c="55.87"/>
              <i n="[Sheet1].[Profit].&amp;[5.605E1]" c="56.05"/>
              <i n="[Sheet1].[Profit].&amp;[5.657E1]" c="56.57"/>
              <i n="[Sheet1].[Profit].&amp;[5.672E1]" c="56.72"/>
              <i n="[Sheet1].[Profit].&amp;[5.685E1]" c="56.85"/>
              <i n="[Sheet1].[Profit].&amp;[5.8E1]" c="58"/>
              <i n="[Sheet1].[Profit].&amp;[5.832E1]" c="58.32"/>
              <i n="[Sheet1].[Profit].&amp;[5.847E1]" c="58.47"/>
              <i n="[Sheet1].[Profit].&amp;[5.924E1]" c="59.24"/>
              <i n="[Sheet1].[Profit].&amp;[5.935E1]" c="59.35"/>
              <i n="[Sheet1].[Profit].&amp;[5.97E1]" c="59.7"/>
              <i n="[Sheet1].[Profit].&amp;[6.02E1]" c="60.2"/>
              <i n="[Sheet1].[Profit].&amp;[6.061E1]" c="60.61"/>
              <i n="[Sheet1].[Profit].&amp;[6.089E1]" c="60.89"/>
              <i n="[Sheet1].[Profit].&amp;[6.162E1]" c="61.62"/>
              <i n="[Sheet1].[Profit].&amp;[6.171E1]" c="61.71"/>
              <i n="[Sheet1].[Profit].&amp;[6.245E1]" c="62.45"/>
              <i n="[Sheet1].[Profit].&amp;[6.265E1]" c="62.65"/>
              <i n="[Sheet1].[Profit].&amp;[6.346E1]" c="63.46"/>
              <i n="[Sheet1].[Profit].&amp;[6.354E1]" c="63.54"/>
              <i n="[Sheet1].[Profit].&amp;[6.404E1]" c="64.04"/>
              <i n="[Sheet1].[Profit].&amp;[6.415E1]" c="64.15"/>
              <i n="[Sheet1].[Profit].&amp;[6.463E1]" c="64.63"/>
              <i n="[Sheet1].[Profit].&amp;[6.498E1]" c="64.98"/>
              <i n="[Sheet1].[Profit].&amp;[6.502E1]" c="65.02"/>
              <i n="[Sheet1].[Profit].&amp;[6.62E1]" c="66.2"/>
              <i n="[Sheet1].[Profit].&amp;[6.638E1]" c="66.38"/>
              <i n="[Sheet1].[Profit].&amp;[6.643E1]" c="66.43"/>
              <i n="[Sheet1].[Profit].&amp;[6.669E1]" c="66.69"/>
              <i n="[Sheet1].[Profit].&amp;[6.706E1]" c="67.06"/>
              <i n="[Sheet1].[Profit].&amp;[6.742E1]" c="67.42"/>
              <i n="[Sheet1].[Profit].&amp;[6.776E1]" c="67.76"/>
              <i n="[Sheet1].[Profit].&amp;[6.829E1]" c="68.29"/>
              <i n="[Sheet1].[Profit].&amp;[6.869E1]" c="68.69"/>
              <i n="[Sheet1].[Profit].&amp;[6.885E1]" c="68.85"/>
              <i n="[Sheet1].[Profit].&amp;[6.972E1]" c="69.72"/>
              <i n="[Sheet1].[Profit].&amp;[7.103E1]" c="71.03"/>
              <i n="[Sheet1].[Profit].&amp;[7.144E1]" c="71.44"/>
              <i n="[Sheet1].[Profit].&amp;[7.184E1]" c="71.84"/>
              <i n="[Sheet1].[Profit].&amp;[7.237E1]" c="72.37"/>
              <i n="[Sheet1].[Profit].&amp;[7.257E1]" c="72.57"/>
              <i n="[Sheet1].[Profit].&amp;[7.273E1]" c="72.73"/>
              <i n="[Sheet1].[Profit].&amp;[7.334E1]" c="73.34"/>
              <i n="[Sheet1].[Profit].&amp;[7.465E1]" c="74.65"/>
              <i n="[Sheet1].[Profit].&amp;[7.473E1]" c="74.73"/>
              <i n="[Sheet1].[Profit].&amp;[7.476E1]" c="74.76"/>
              <i n="[Sheet1].[Profit].&amp;[7.599E1]" c="75.99"/>
              <i n="[Sheet1].[Profit].&amp;[7.615E1]" c="76.15"/>
              <i n="[Sheet1].[Profit].&amp;[7.627E1]" c="76.27"/>
              <i n="[Sheet1].[Profit].&amp;[7.639E1]" c="76.39"/>
              <i n="[Sheet1].[Profit].&amp;[7.669E1]" c="76.69"/>
              <i n="[Sheet1].[Profit].&amp;[7.716E1]" c="77.16"/>
              <i n="[Sheet1].[Profit].&amp;[7.752E1]" c="77.52"/>
              <i n="[Sheet1].[Profit].&amp;[7.838E1]" c="78.38"/>
              <i n="[Sheet1].[Profit].&amp;[7.84E1]" c="78.4"/>
              <i n="[Sheet1].[Profit].&amp;[7.921E1]" c="79.21"/>
              <i n="[Sheet1].[Profit].&amp;[7.972E1]" c="79.72"/>
              <i n="[Sheet1].[Profit].&amp;[8.012E1]" c="80.12"/>
              <i n="[Sheet1].[Profit].&amp;[8.014E1]" c="80.14"/>
              <i n="[Sheet1].[Profit].&amp;[8.02E1]" c="80.2"/>
              <i n="[Sheet1].[Profit].&amp;[8.079E1]" c="80.79"/>
              <i n="[Sheet1].[Profit].&amp;[8.08E1]" c="80.8"/>
              <i n="[Sheet1].[Profit].&amp;[8.111E1]" c="81.11"/>
              <i n="[Sheet1].[Profit].&amp;[8.227E1]" c="82.27"/>
              <i n="[Sheet1].[Profit].&amp;[8.274E1]" c="82.74"/>
              <i n="[Sheet1].[Profit].&amp;[8.339E1]" c="83.39"/>
              <i n="[Sheet1].[Profit].&amp;[8.347E1]" c="83.47"/>
              <i n="[Sheet1].[Profit].&amp;[8.373E1]" c="83.73"/>
              <i n="[Sheet1].[Profit].&amp;[8.39E1]" c="83.9"/>
              <i n="[Sheet1].[Profit].&amp;[8.567E1]" c="85.67"/>
              <i n="[Sheet1].[Profit].&amp;[8.621E1]" c="86.21"/>
              <i n="[Sheet1].[Profit].&amp;[8.694E1]" c="86.94"/>
              <i n="[Sheet1].[Profit].&amp;[8.716E1]" c="87.16"/>
              <i n="[Sheet1].[Profit].&amp;[8.728E1]" c="87.28"/>
              <i n="[Sheet1].[Profit].&amp;[8.799E1]" c="87.99"/>
              <i n="[Sheet1].[Profit].&amp;[8.827E1]" c="88.27"/>
              <i n="[Sheet1].[Profit].&amp;[8.828E1]" c="88.28"/>
              <i n="[Sheet1].[Profit].&amp;[8.87E1]" c="88.7"/>
              <i n="[Sheet1].[Profit].&amp;[8.894E1]" c="88.94"/>
              <i n="[Sheet1].[Profit].&amp;[8.957E1]" c="89.57"/>
              <i n="[Sheet1].[Profit].&amp;[8.967E1]" c="89.67"/>
              <i n="[Sheet1].[Profit].&amp;[8.969E1]" c="89.69"/>
              <i n="[Sheet1].[Profit].&amp;[9.031E1]" c="90.31"/>
              <i n="[Sheet1].[Profit].&amp;[9.085E1]" c="90.85"/>
              <i n="[Sheet1].[Profit].&amp;[9.123E1]" c="91.23"/>
              <i n="[Sheet1].[Profit].&amp;[9.124E1]" c="91.24"/>
              <i n="[Sheet1].[Profit].&amp;[9.149E1]" c="91.49"/>
              <i n="[Sheet1].[Profit].&amp;[9.305E1]" c="93.05"/>
              <i n="[Sheet1].[Profit].&amp;[9.308E1]" c="93.08"/>
              <i n="[Sheet1].[Profit].&amp;[9.373E1]" c="93.73"/>
              <i n="[Sheet1].[Profit].&amp;[9.382E1]" c="93.82"/>
              <i n="[Sheet1].[Profit].&amp;[9.421E1]" c="94.21"/>
              <i n="[Sheet1].[Profit].&amp;[9.464E1]" c="94.64"/>
              <i n="[Sheet1].[Profit].&amp;[9.47E1]" c="94.7"/>
              <i n="[Sheet1].[Profit].&amp;[9.521E1]" c="95.21"/>
              <i n="[Sheet1].[Profit].&amp;[9.546E1]" c="95.46"/>
              <i n="[Sheet1].[Profit].&amp;[9.549E1]" c="95.49"/>
              <i n="[Sheet1].[Profit].&amp;[9.566E1]" c="95.66"/>
              <i n="[Sheet1].[Profit].&amp;[9.695E1]" c="96.95"/>
              <i n="[Sheet1].[Profit].&amp;[9.717E1]" c="97.17"/>
              <i n="[Sheet1].[Profit].&amp;[9.742E1]" c="97.42"/>
              <i n="[Sheet1].[Profit].&amp;[9.746E1]" c="97.46"/>
              <i n="[Sheet1].[Profit].&amp;[9.756E1]" c="97.56"/>
              <i n="[Sheet1].[Profit].&amp;[9.793E1]" c="97.93"/>
              <i n="[Sheet1].[Profit].&amp;[9.904E1]" c="99.04"/>
              <i n="[Sheet1].[Profit].&amp;[1.0023E2]" c="100.23"/>
              <i n="[Sheet1].[Profit].&amp;[1.0024E2]" c="100.24"/>
              <i n="[Sheet1].[Profit].&amp;[1.0041E2]" c="100.41"/>
              <i n="[Sheet1].[Profit].&amp;[1.0047E2]" c="100.47"/>
              <i n="[Sheet1].[Profit].&amp;[1.0315E2]" c="103.15"/>
              <i n="[Sheet1].[Profit].&amp;[1.0321E2]" c="103.21"/>
              <i n="[Sheet1].[Profit].&amp;[1.0355E2]" c="103.55"/>
              <i n="[Sheet1].[Profit].&amp;[1.0398E2]" c="103.98"/>
              <i n="[Sheet1].[Profit].&amp;[1.0427E2]" c="104.27"/>
              <i n="[Sheet1].[Profit].&amp;[1.0477E2]" c="104.77"/>
              <i n="[Sheet1].[Profit].&amp;[1.0555E2]" c="105.55"/>
              <i n="[Sheet1].[Profit].&amp;[1.063E2]" c="106.3"/>
              <i n="[Sheet1].[Profit].&amp;[1.0672E2]" c="106.72"/>
              <i n="[Sheet1].[Profit].&amp;[1.0762E2]" c="107.62"/>
              <i n="[Sheet1].[Profit].&amp;[1.0797E2]" c="107.97"/>
              <i n="[Sheet1].[Profit].&amp;[1.0806E2]" c="108.06"/>
              <i n="[Sheet1].[Profit].&amp;[1.0869E2]" c="108.69"/>
              <i n="[Sheet1].[Profit].&amp;[1.089E2]" c="108.9"/>
              <i n="[Sheet1].[Profit].&amp;[1.0926E2]" c="109.26"/>
              <i n="[Sheet1].[Profit].&amp;[1.0993E2]" c="109.93"/>
              <i n="[Sheet1].[Profit].&amp;[1.1018E2]" c="110.18"/>
              <i n="[Sheet1].[Profit].&amp;[1.102E2]" c="110.2"/>
              <i n="[Sheet1].[Profit].&amp;[1.1052E2]" c="110.52"/>
              <i n="[Sheet1].[Profit].&amp;[1.1182E2]" c="111.82"/>
              <i n="[Sheet1].[Profit].&amp;[1.1279E2]" c="112.79"/>
              <i n="[Sheet1].[Profit].&amp;[1.1315E2]" c="113.15"/>
              <i n="[Sheet1].[Profit].&amp;[1.1385E2]" c="113.85"/>
              <i n="[Sheet1].[Profit].&amp;[1.154E2]" c="115.4"/>
              <i n="[Sheet1].[Profit].&amp;[1.1546E2]" c="115.46"/>
              <i n="[Sheet1].[Profit].&amp;[1.1559E2]" c="115.59"/>
              <i n="[Sheet1].[Profit].&amp;[1.1577E2]" c="115.77"/>
              <i n="[Sheet1].[Profit].&amp;[1.1593E2]" c="115.93"/>
              <i n="[Sheet1].[Profit].&amp;[1.1607E2]" c="116.07"/>
              <i n="[Sheet1].[Profit].&amp;[1.1624E2]" c="116.24"/>
              <i n="[Sheet1].[Profit].&amp;[1.1664E2]" c="116.64"/>
              <i n="[Sheet1].[Profit].&amp;[1.1752E2]" c="117.52"/>
              <i n="[Sheet1].[Profit].&amp;[1.1868E2]" c="118.68"/>
              <i n="[Sheet1].[Profit].&amp;[1.1871E2]" c="118.71"/>
              <i n="[Sheet1].[Profit].&amp;[1.1874E2]" c="118.74"/>
              <i n="[Sheet1].[Profit].&amp;[1.1875E2]" c="118.75"/>
              <i n="[Sheet1].[Profit].&amp;[1.1882E2]" c="118.82"/>
              <i n="[Sheet1].[Profit].&amp;[1.1929E2]" c="119.29"/>
              <i n="[Sheet1].[Profit].&amp;[1.1956E2]" c="119.56"/>
              <i n="[Sheet1].[Profit].&amp;[1.199E2]" c="119.9"/>
              <i n="[Sheet1].[Profit].&amp;[1.2159E2]" c="121.59"/>
              <i n="[Sheet1].[Profit].&amp;[1.2194E2]" c="121.94"/>
              <i n="[Sheet1].[Profit].&amp;[1.2197E2]" c="121.97"/>
              <i n="[Sheet1].[Profit].&amp;[1.2242E2]" c="122.42"/>
              <i n="[Sheet1].[Profit].&amp;[1.2311E2]" c="123.11"/>
              <i n="[Sheet1].[Profit].&amp;[1.2377E2]" c="123.77"/>
              <i n="[Sheet1].[Profit].&amp;[1.2408E2]" c="124.08"/>
              <i n="[Sheet1].[Profit].&amp;[1.241E2]" c="124.1"/>
              <i n="[Sheet1].[Profit].&amp;[1.2456E2]" c="124.56"/>
              <i n="[Sheet1].[Profit].&amp;[1.2672E2]" c="126.72"/>
              <i n="[Sheet1].[Profit].&amp;[1.2797E2]" c="127.97"/>
              <i n="[Sheet1].[Profit].&amp;[1.2801E2]" c="128.01"/>
              <i n="[Sheet1].[Profit].&amp;[1.294E2]" c="129.4"/>
              <i n="[Sheet1].[Profit].&amp;[1.2946E2]" c="129.46"/>
              <i n="[Sheet1].[Profit].&amp;[1.2993E2]" c="129.93"/>
              <i n="[Sheet1].[Profit].&amp;[1.3001E2]" c="130.01"/>
              <i n="[Sheet1].[Profit].&amp;[1.3064E2]" c="130.64"/>
              <i n="[Sheet1].[Profit].&amp;[1.3088E2]" c="130.88"/>
              <i n="[Sheet1].[Profit].&amp;[1.3094E2]" c="130.94"/>
              <i n="[Sheet1].[Profit].&amp;[1.3265E2]" c="132.65"/>
              <i n="[Sheet1].[Profit].&amp;[1.3294E2]" c="132.94"/>
              <i n="[Sheet1].[Profit].&amp;[1.3306E2]" c="133.06"/>
              <i n="[Sheet1].[Profit].&amp;[1.339E2]" c="133.9"/>
              <i n="[Sheet1].[Profit].&amp;[1.3521E2]" c="135.21"/>
              <i n="[Sheet1].[Profit].&amp;[1.3617E2]" c="136.17"/>
              <i n="[Sheet1].[Profit].&amp;[1.3652E2]" c="136.52"/>
              <i n="[Sheet1].[Profit].&amp;[1.3665E2]" c="136.65"/>
              <i n="[Sheet1].[Profit].&amp;[1.3692E2]" c="136.92"/>
              <i n="[Sheet1].[Profit].&amp;[1.376E2]" c="137.6"/>
              <i n="[Sheet1].[Profit].&amp;[1.3914E2]" c="139.14"/>
              <i n="[Sheet1].[Profit].&amp;[1.3916E2]" c="139.16"/>
              <i n="[Sheet1].[Profit].&amp;[1.3923E2]" c="139.23"/>
              <i n="[Sheet1].[Profit].&amp;[1.4E2]" c="140"/>
              <i n="[Sheet1].[Profit].&amp;[1.4009E2]" c="140.09"/>
              <i n="[Sheet1].[Profit].&amp;[1.403E2]" c="140.3"/>
              <i n="[Sheet1].[Profit].&amp;[1.404E2]" c="140.4"/>
              <i n="[Sheet1].[Profit].&amp;[1.4087E2]" c="140.87"/>
              <i n="[Sheet1].[Profit].&amp;[1.4128E2]" c="141.28"/>
              <i n="[Sheet1].[Profit].&amp;[1.4162E2]" c="141.62"/>
              <i n="[Sheet1].[Profit].&amp;[1.4401E2]" c="144.01"/>
              <i n="[Sheet1].[Profit].&amp;[1.4457E2]" c="144.57"/>
              <i n="[Sheet1].[Profit].&amp;[1.446E2]" c="144.6"/>
              <i n="[Sheet1].[Profit].&amp;[1.4511E2]" c="145.11"/>
              <i n="[Sheet1].[Profit].&amp;[1.4636E2]" c="146.36"/>
              <i n="[Sheet1].[Profit].&amp;[1.4642E2]" c="146.42"/>
              <i n="[Sheet1].[Profit].&amp;[1.4754E2]" c="147.54"/>
              <i n="[Sheet1].[Profit].&amp;[1.4766E2]" c="147.66"/>
              <i n="[Sheet1].[Profit].&amp;[1.4793E2]" c="147.93"/>
              <i n="[Sheet1].[Profit].&amp;[1.4801E2]" c="148.01"/>
              <i n="[Sheet1].[Profit].&amp;[1.4892E2]" c="148.92"/>
              <i n="[Sheet1].[Profit].&amp;[1.4974E2]" c="149.74"/>
              <i n="[Sheet1].[Profit].&amp;[1.4975E2]" c="149.75"/>
              <i n="[Sheet1].[Profit].&amp;[1.4982E2]" c="149.82"/>
              <i n="[Sheet1].[Profit].&amp;[1.5075E2]" c="150.75"/>
              <i n="[Sheet1].[Profit].&amp;[1.5088E2]" c="150.88"/>
              <i n="[Sheet1].[Profit].&amp;[1.5093E2]" c="150.93"/>
              <i n="[Sheet1].[Profit].&amp;[1.5195E2]" c="151.95"/>
              <i n="[Sheet1].[Profit].&amp;[1.5219E2]" c="152.19"/>
              <i n="[Sheet1].[Profit].&amp;[1.5283E2]" c="152.83"/>
              <i n="[Sheet1].[Profit].&amp;[1.5328E2]" c="153.28"/>
              <i n="[Sheet1].[Profit].&amp;[1.54E2]" c="154"/>
              <i n="[Sheet1].[Profit].&amp;[1.5417E2]" c="154.17"/>
              <i n="[Sheet1].[Profit].&amp;[1.5541E2]" c="155.41"/>
              <i n="[Sheet1].[Profit].&amp;[1.5549E2]" c="155.49"/>
              <i n="[Sheet1].[Profit].&amp;[1.5614E2]" c="156.14"/>
              <i n="[Sheet1].[Profit].&amp;[1.5659E2]" c="156.59"/>
              <i n="[Sheet1].[Profit].&amp;[1.571E2]" c="157.1"/>
              <i n="[Sheet1].[Profit].&amp;[1.5754E2]" c="157.54"/>
              <i n="[Sheet1].[Profit].&amp;[1.5811E2]" c="158.11"/>
              <i n="[Sheet1].[Profit].&amp;[1.6006E2]" c="160.06"/>
              <i n="[Sheet1].[Profit].&amp;[1.6027E2]" c="160.27"/>
              <i n="[Sheet1].[Profit].&amp;[1.6073E2]" c="160.73"/>
              <i n="[Sheet1].[Profit].&amp;[1.6099E2]" c="160.99"/>
              <i n="[Sheet1].[Profit].&amp;[1.6106E2]" c="161.06"/>
              <i n="[Sheet1].[Profit].&amp;[1.6193E2]" c="161.93"/>
              <i n="[Sheet1].[Profit].&amp;[1.6239E2]" c="162.39"/>
              <i n="[Sheet1].[Profit].&amp;[1.6271E2]" c="162.71"/>
              <i n="[Sheet1].[Profit].&amp;[1.6292E2]" c="162.92"/>
              <i n="[Sheet1].[Profit].&amp;[1.6334E2]" c="163.34"/>
              <i n="[Sheet1].[Profit].&amp;[1.634E2]" c="163.4"/>
              <i n="[Sheet1].[Profit].&amp;[1.6414E2]" c="164.14"/>
              <i n="[Sheet1].[Profit].&amp;[1.6525E2]" c="165.25"/>
              <i n="[Sheet1].[Profit].&amp;[1.6586E2]" c="165.86"/>
              <i n="[Sheet1].[Profit].&amp;[1.6656E2]" c="166.56"/>
              <i n="[Sheet1].[Profit].&amp;[1.6743E2]" c="167.43"/>
              <i n="[Sheet1].[Profit].&amp;[1.6796E2]" c="167.96"/>
              <i n="[Sheet1].[Profit].&amp;[1.6868E2]" c="168.68"/>
              <i n="[Sheet1].[Profit].&amp;[1.6902E2]" c="169.02"/>
              <i n="[Sheet1].[Profit].&amp;[1.6941E2]" c="169.41"/>
              <i n="[Sheet1].[Profit].&amp;[1.6943E2]" c="169.43"/>
              <i n="[Sheet1].[Profit].&amp;[1.6956E2]" c="169.56"/>
              <i n="[Sheet1].[Profit].&amp;[1.6999E2]" c="169.99"/>
              <i n="[Sheet1].[Profit].&amp;[1.704E2]" c="170.4"/>
              <i n="[Sheet1].[Profit].&amp;[1.7061E2]" c="170.61"/>
              <i n="[Sheet1].[Profit].&amp;[1.7073E2]" c="170.73"/>
              <i n="[Sheet1].[Profit].&amp;[1.7128E2]" c="171.28"/>
              <i n="[Sheet1].[Profit].&amp;[1.7268E2]" c="172.68"/>
              <i n="[Sheet1].[Profit].&amp;[1.7275E2]" c="172.75"/>
              <i n="[Sheet1].[Profit].&amp;[1.7281E2]" c="172.81"/>
              <i n="[Sheet1].[Profit].&amp;[1.7339E2]" c="173.39"/>
              <i n="[Sheet1].[Profit].&amp;[1.735E2]" c="173.5"/>
              <i n="[Sheet1].[Profit].&amp;[1.7361E2]" c="173.61"/>
              <i n="[Sheet1].[Profit].&amp;[1.7559E2]" c="175.59"/>
              <i n="[Sheet1].[Profit].&amp;[1.758E2]" c="175.8"/>
              <i n="[Sheet1].[Profit].&amp;[1.7604E2]" c="176.04"/>
              <i n="[Sheet1].[Profit].&amp;[1.7622E2]" c="176.22"/>
              <i n="[Sheet1].[Profit].&amp;[1.7659E2]" c="176.59"/>
              <i n="[Sheet1].[Profit].&amp;[1.7701E2]" c="177.01"/>
              <i n="[Sheet1].[Profit].&amp;[1.7713E2]" c="177.13"/>
              <i n="[Sheet1].[Profit].&amp;[1.7783E2]" c="177.83"/>
              <i n="[Sheet1].[Profit].&amp;[1.7784E2]" c="177.84"/>
              <i n="[Sheet1].[Profit].&amp;[1.7839E2]" c="178.39"/>
              <i n="[Sheet1].[Profit].&amp;[1.7915E2]" c="179.15"/>
              <i n="[Sheet1].[Profit].&amp;[1.7923E2]" c="179.23"/>
              <i n="[Sheet1].[Profit].&amp;[1.8112E2]" c="181.12"/>
              <i n="[Sheet1].[Profit].&amp;[1.8122E2]" c="181.22"/>
              <i n="[Sheet1].[Profit].&amp;[1.8164E2]" c="181.64"/>
              <i n="[Sheet1].[Profit].&amp;[1.8229E2]" c="182.29"/>
              <i n="[Sheet1].[Profit].&amp;[1.8236E2]" c="182.36"/>
              <i n="[Sheet1].[Profit].&amp;[1.8249E2]" c="182.49"/>
              <i n="[Sheet1].[Profit].&amp;[1.8305E2]" c="183.05"/>
              <i n="[Sheet1].[Profit].&amp;[1.839E2]" c="183.9"/>
              <i n="[Sheet1].[Profit].&amp;[1.8414E2]" c="184.14"/>
              <i n="[Sheet1].[Profit].&amp;[1.8506E2]" c="185.06"/>
              <i n="[Sheet1].[Profit].&amp;[1.8514E2]" c="185.14"/>
              <i n="[Sheet1].[Profit].&amp;[1.8521E2]" c="185.21"/>
              <i n="[Sheet1].[Profit].&amp;[1.8596E2]" c="185.96"/>
              <i n="[Sheet1].[Profit].&amp;[1.86E2]" c="186"/>
              <i n="[Sheet1].[Profit].&amp;[1.8601E2]" c="186.01"/>
              <i n="[Sheet1].[Profit].&amp;[1.8697E2]" c="186.97"/>
              <i n="[Sheet1].[Profit].&amp;[1.8715E2]" c="187.15"/>
              <i n="[Sheet1].[Profit].&amp;[1.8782E2]" c="187.82"/>
              <i n="[Sheet1].[Profit].&amp;[1.879E2]" c="187.9"/>
              <i n="[Sheet1].[Profit].&amp;[1.8876E2]" c="188.76"/>
              <i n="[Sheet1].[Profit].&amp;[1.8897E2]" c="188.97"/>
              <i n="[Sheet1].[Profit].&amp;[1.8966E2]" c="189.66"/>
              <i n="[Sheet1].[Profit].&amp;[1.8992E2]" c="189.92"/>
              <i n="[Sheet1].[Profit].&amp;[1.9013E2]" c="190.13"/>
              <i n="[Sheet1].[Profit].&amp;[1.913E2]" c="191.3"/>
              <i n="[Sheet1].[Profit].&amp;[1.9136E2]" c="191.36"/>
              <i n="[Sheet1].[Profit].&amp;[1.9181E2]" c="191.81"/>
              <i n="[Sheet1].[Profit].&amp;[1.9367E2]" c="193.67"/>
              <i n="[Sheet1].[Profit].&amp;[1.9371E2]" c="193.71"/>
              <i n="[Sheet1].[Profit].&amp;[1.9409E2]" c="194.09"/>
              <i n="[Sheet1].[Profit].&amp;[1.9432E2]" c="194.32"/>
              <i n="[Sheet1].[Profit].&amp;[1.9439E2]" c="194.39"/>
              <i n="[Sheet1].[Profit].&amp;[1.9527E2]" c="195.27"/>
              <i n="[Sheet1].[Profit].&amp;[1.9633E2]" c="196.33"/>
              <i n="[Sheet1].[Profit].&amp;[1.9647E2]" c="196.47"/>
              <i n="[Sheet1].[Profit].&amp;[1.9731E2]" c="197.31"/>
              <i n="[Sheet1].[Profit].&amp;[1.9766E2]" c="197.66"/>
              <i n="[Sheet1].[Profit].&amp;[1.9855E2]" c="198.55"/>
              <i n="[Sheet1].[Profit].&amp;[1.9886E2]" c="198.86"/>
              <i n="[Sheet1].[Profit].&amp;[1.9897E2]" c="198.97"/>
              <i n="[Sheet1].[Profit].&amp;[1.9961E2]" c="199.61"/>
              <i n="[Sheet1].[Profit].&amp;[1.997E2]" c="199.7"/>
              <i n="[Sheet1].[Profit].&amp;[2.0105E2]" c="201.05"/>
              <i n="[Sheet1].[Profit].&amp;[2.013E2]" c="201.3"/>
              <i n="[Sheet1].[Profit].&amp;[2.015E2]" c="201.5"/>
              <i n="[Sheet1].[Profit].&amp;[2.0375E2]" c="203.75"/>
              <i n="[Sheet1].[Profit].&amp;[2.0404E2]" c="204.04"/>
              <i n="[Sheet1].[Profit].&amp;[2.0463E2]" c="204.63"/>
              <i n="[Sheet1].[Profit].&amp;[2.0509E2]" c="205.09"/>
              <i n="[Sheet1].[Profit].&amp;[2.0592E2]" c="205.92"/>
              <i n="[Sheet1].[Profit].&amp;[2.0599E2]" c="205.99"/>
              <i n="[Sheet1].[Profit].&amp;[2.0682E2]" c="206.82"/>
              <i n="[Sheet1].[Profit].&amp;[2.0716E2]" c="207.16"/>
              <i n="[Sheet1].[Profit].&amp;[2.0746E2]" c="207.46"/>
              <i n="[Sheet1].[Profit].&amp;[2.0947E2]" c="209.47"/>
              <i n="[Sheet1].[Profit].&amp;[2.0999E2]" c="209.99"/>
              <i n="[Sheet1].[Profit].&amp;[2.1036E2]" c="210.36"/>
              <i n="[Sheet1].[Profit].&amp;[2.1051E2]" c="210.51"/>
              <i n="[Sheet1].[Profit].&amp;[2.1087E2]" c="210.87"/>
              <i n="[Sheet1].[Profit].&amp;[2.11E2]" c="211"/>
              <i n="[Sheet1].[Profit].&amp;[2.1112E2]" c="211.12"/>
              <i n="[Sheet1].[Profit].&amp;[2.1175E2]" c="211.75"/>
              <i n="[Sheet1].[Profit].&amp;[2.1192E2]" c="211.92"/>
              <i n="[Sheet1].[Profit].&amp;[2.1206E2]" c="212.06"/>
              <i n="[Sheet1].[Profit].&amp;[2.1224E2]" c="212.24"/>
              <i n="[Sheet1].[Profit].&amp;[2.1306E2]" c="213.06"/>
              <i n="[Sheet1].[Profit].&amp;[2.1368E2]" c="213.68"/>
              <i n="[Sheet1].[Profit].&amp;[2.1399E2]" c="213.99"/>
              <i n="[Sheet1].[Profit].&amp;[2.1447E2]" c="214.47"/>
              <i n="[Sheet1].[Profit].&amp;[2.1463E2]" c="214.63"/>
              <i n="[Sheet1].[Profit].&amp;[2.1614E2]" c="216.14"/>
              <i n="[Sheet1].[Profit].&amp;[2.1708E2]" c="217.08"/>
              <i n="[Sheet1].[Profit].&amp;[2.1849E2]" c="218.49"/>
              <i n="[Sheet1].[Profit].&amp;[2.1931E2]" c="219.31"/>
              <i n="[Sheet1].[Profit].&amp;[2.1945E2]" c="219.45"/>
              <i n="[Sheet1].[Profit].&amp;[2.1948E2]" c="219.48"/>
              <i n="[Sheet1].[Profit].&amp;[2.1979E2]" c="219.79"/>
              <i n="[Sheet1].[Profit].&amp;[2.2012E2]" c="220.12"/>
              <i n="[Sheet1].[Profit].&amp;[2.2057E2]" c="220.57"/>
              <i n="[Sheet1].[Profit].&amp;[2.2061E2]" c="220.61"/>
              <i n="[Sheet1].[Profit].&amp;[2.2064E2]" c="220.64"/>
              <i n="[Sheet1].[Profit].&amp;[2.2123E2]" c="221.23"/>
              <i n="[Sheet1].[Profit].&amp;[2.2164E2]" c="221.64"/>
              <i n="[Sheet1].[Profit].&amp;[2.2186E2]" c="221.86"/>
              <i n="[Sheet1].[Profit].&amp;[2.2189E2]" c="221.89"/>
              <i n="[Sheet1].[Profit].&amp;[2.2201E2]" c="222.01"/>
              <i n="[Sheet1].[Profit].&amp;[2.2218E2]" c="222.18"/>
              <i n="[Sheet1].[Profit].&amp;[2.2247E2]" c="222.47"/>
              <i n="[Sheet1].[Profit].&amp;[2.2334E2]" c="223.34"/>
              <i n="[Sheet1].[Profit].&amp;[2.2448E2]" c="224.48"/>
              <i n="[Sheet1].[Profit].&amp;[2.2462E2]" c="224.62"/>
              <i n="[Sheet1].[Profit].&amp;[2.2486E2]" c="224.86"/>
              <i n="[Sheet1].[Profit].&amp;[2.2507E2]" c="225.07"/>
              <i n="[Sheet1].[Profit].&amp;[2.2591E2]" c="225.91"/>
              <i n="[Sheet1].[Profit].&amp;[2.2704E2]" c="227.04"/>
              <i n="[Sheet1].[Profit].&amp;[2.2854E2]" c="228.54"/>
              <i n="[Sheet1].[Profit].&amp;[2.2855E2]" c="228.55"/>
              <i n="[Sheet1].[Profit].&amp;[2.2925E2]" c="229.25"/>
              <i n="[Sheet1].[Profit].&amp;[2.3125E2]" c="231.25"/>
              <i n="[Sheet1].[Profit].&amp;[2.3183E2]" c="231.83"/>
              <i n="[Sheet1].[Profit].&amp;[2.3238E2]" c="232.38"/>
              <i n="[Sheet1].[Profit].&amp;[2.3325E2]" c="233.25"/>
              <i n="[Sheet1].[Profit].&amp;[2.3348E2]" c="233.48"/>
              <i n="[Sheet1].[Profit].&amp;[2.3373E2]" c="233.73"/>
              <i n="[Sheet1].[Profit].&amp;[2.3634E2]" c="236.34"/>
              <i n="[Sheet1].[Profit].&amp;[2.3679E2]" c="236.79"/>
              <i n="[Sheet1].[Profit].&amp;[2.368E2]" c="236.8"/>
              <i n="[Sheet1].[Profit].&amp;[2.3841E2]" c="238.41"/>
              <i n="[Sheet1].[Profit].&amp;[2.3908E2]" c="239.08"/>
              <i n="[Sheet1].[Profit].&amp;[2.3968E2]" c="239.68"/>
              <i n="[Sheet1].[Profit].&amp;[2.4009E2]" c="240.09"/>
              <i n="[Sheet1].[Profit].&amp;[2.4059E2]" c="240.59"/>
              <i n="[Sheet1].[Profit].&amp;[2.4208E2]" c="242.08"/>
              <i n="[Sheet1].[Profit].&amp;[2.4243E2]" c="242.43"/>
              <i n="[Sheet1].[Profit].&amp;[2.4329E2]" c="243.29"/>
              <i n="[Sheet1].[Profit].&amp;[2.4392E2]" c="243.92"/>
              <i n="[Sheet1].[Profit].&amp;[2.4451E2]" c="244.51"/>
              <i n="[Sheet1].[Profit].&amp;[2.4482E2]" c="244.82"/>
              <i n="[Sheet1].[Profit].&amp;[2.4593E2]" c="245.93"/>
              <i n="[Sheet1].[Profit].&amp;[2.4679E2]" c="246.79"/>
              <i n="[Sheet1].[Profit].&amp;[2.4698E2]" c="246.98"/>
              <i n="[Sheet1].[Profit].&amp;[2.471E2]" c="247.1"/>
              <i n="[Sheet1].[Profit].&amp;[2.4741E2]" c="247.41"/>
              <i n="[Sheet1].[Profit].&amp;[2.4873E2]" c="248.73"/>
              <i n="[Sheet1].[Profit].&amp;[2.4881E2]" c="248.81"/>
              <i n="[Sheet1].[Profit].&amp;[2.4994E2]" c="249.94"/>
              <i n="[Sheet1].[Profit].&amp;[2.5012E2]" c="250.12"/>
              <i n="[Sheet1].[Profit].&amp;[2.5075E2]" c="250.75"/>
              <i n="[Sheet1].[Profit].&amp;[2.5118E2]" c="251.18"/>
              <i n="[Sheet1].[Profit].&amp;[2.5122E2]" c="251.22"/>
              <i n="[Sheet1].[Profit].&amp;[2.5152E2]" c="251.52"/>
              <i n="[Sheet1].[Profit].&amp;[2.5156E2]" c="251.56"/>
              <i n="[Sheet1].[Profit].&amp;[2.5159E2]" c="251.59"/>
              <i n="[Sheet1].[Profit].&amp;[2.5189E2]" c="251.89"/>
              <i n="[Sheet1].[Profit].&amp;[2.52E2]" c="252"/>
              <i n="[Sheet1].[Profit].&amp;[2.5308E2]" c="253.08"/>
              <i n="[Sheet1].[Profit].&amp;[2.536E2]" c="253.6"/>
              <i n="[Sheet1].[Profit].&amp;[2.5393E2]" c="253.93"/>
              <i n="[Sheet1].[Profit].&amp;[2.5397E2]" c="253.97"/>
              <i n="[Sheet1].[Profit].&amp;[2.5419E2]" c="254.19"/>
              <i n="[Sheet1].[Profit].&amp;[2.5423E2]" c="254.23"/>
              <i n="[Sheet1].[Profit].&amp;[2.5506E2]" c="255.06"/>
              <i n="[Sheet1].[Profit].&amp;[2.5531E2]" c="255.31"/>
              <i n="[Sheet1].[Profit].&amp;[2.5653E2]" c="256.53"/>
              <i n="[Sheet1].[Profit].&amp;[2.567E2]" c="256.7"/>
              <i n="[Sheet1].[Profit].&amp;[2.5694E2]" c="256.94"/>
              <i n="[Sheet1].[Profit].&amp;[2.5726E2]" c="257.26"/>
              <i n="[Sheet1].[Profit].&amp;[2.5784E2]" c="257.84"/>
              <i n="[Sheet1].[Profit].&amp;[2.5785E2]" c="257.85"/>
              <i n="[Sheet1].[Profit].&amp;[2.5806E2]" c="258.06"/>
              <i n="[Sheet1].[Profit].&amp;[2.5859E2]" c="258.59"/>
              <i n="[Sheet1].[Profit].&amp;[2.5955E2]" c="259.55"/>
              <i n="[Sheet1].[Profit].&amp;[2.6098E2]" c="260.98"/>
              <i n="[Sheet1].[Profit].&amp;[2.6143E2]" c="261.43"/>
              <i n="[Sheet1].[Profit].&amp;[2.6171E2]" c="261.71"/>
              <i n="[Sheet1].[Profit].&amp;[2.6223E2]" c="262.23"/>
              <i n="[Sheet1].[Profit].&amp;[2.6506E2]" c="265.06"/>
              <i n="[Sheet1].[Profit].&amp;[2.6522E2]" c="265.22"/>
              <i n="[Sheet1].[Profit].&amp;[2.6539E2]" c="265.39"/>
              <i n="[Sheet1].[Profit].&amp;[2.6567E2]" c="265.67"/>
              <i n="[Sheet1].[Profit].&amp;[2.6611E2]" c="266.11"/>
              <i n="[Sheet1].[Profit].&amp;[2.6624E2]" c="266.24"/>
              <i n="[Sheet1].[Profit].&amp;[2.6679E2]" c="266.79"/>
              <i n="[Sheet1].[Profit].&amp;[2.6684E2]" c="266.84"/>
              <i n="[Sheet1].[Profit].&amp;[2.6728E2]" c="267.28"/>
              <i n="[Sheet1].[Profit].&amp;[2.6762E2]" c="267.62"/>
              <i n="[Sheet1].[Profit].&amp;[2.6802E2]" c="268.02"/>
              <i n="[Sheet1].[Profit].&amp;[2.6834E2]" c="268.34"/>
              <i n="[Sheet1].[Profit].&amp;[2.6951E2]" c="269.51"/>
              <i n="[Sheet1].[Profit].&amp;[2.7017E2]" c="270.17"/>
              <i n="[Sheet1].[Profit].&amp;[2.7134E2]" c="271.34"/>
              <i n="[Sheet1].[Profit].&amp;[2.7243E2]" c="272.43"/>
              <i n="[Sheet1].[Profit].&amp;[2.7295E2]" c="272.95"/>
              <i n="[Sheet1].[Profit].&amp;[2.7332E2]" c="273.32"/>
              <i n="[Sheet1].[Profit].&amp;[2.7449E2]" c="274.49"/>
              <i n="[Sheet1].[Profit].&amp;[2.7484E2]" c="274.84"/>
              <i n="[Sheet1].[Profit].&amp;[2.7507E2]" c="275.07"/>
              <i n="[Sheet1].[Profit].&amp;[2.7531E2]" c="275.31"/>
              <i n="[Sheet1].[Profit].&amp;[2.7559E2]" c="275.59"/>
              <i n="[Sheet1].[Profit].&amp;[2.7564E2]" c="275.64"/>
              <i n="[Sheet1].[Profit].&amp;[2.762E2]" c="276.2"/>
              <i n="[Sheet1].[Profit].&amp;[2.7706E2]" c="277.06"/>
              <i n="[Sheet1].[Profit].&amp;[2.7725E2]" c="277.25"/>
              <i n="[Sheet1].[Profit].&amp;[2.7775E2]" c="277.75"/>
              <i n="[Sheet1].[Profit].&amp;[2.7839E2]" c="278.39"/>
              <i n="[Sheet1].[Profit].&amp;[2.7857E2]" c="278.57"/>
              <i n="[Sheet1].[Profit].&amp;[2.788E2]" c="278.8"/>
              <i n="[Sheet1].[Profit].&amp;[2.7945E2]" c="279.45"/>
              <i n="[Sheet1].[Profit].&amp;[2.8014E2]" c="280.14"/>
              <i n="[Sheet1].[Profit].&amp;[2.8018E2]" c="280.18"/>
              <i n="[Sheet1].[Profit].&amp;[2.8089E2]" c="280.89"/>
              <i n="[Sheet1].[Profit].&amp;[2.8296E2]" c="282.96"/>
              <i n="[Sheet1].[Profit].&amp;[2.8305E2]" c="283.05"/>
              <i n="[Sheet1].[Profit].&amp;[2.8431E2]" c="284.31"/>
              <i n="[Sheet1].[Profit].&amp;[2.8597E2]" c="285.97"/>
              <i n="[Sheet1].[Profit].&amp;[2.8629E2]" c="286.29"/>
              <i n="[Sheet1].[Profit].&amp;[2.8665E2]" c="286.65"/>
              <i n="[Sheet1].[Profit].&amp;[2.8736E2]" c="287.36"/>
              <i n="[Sheet1].[Profit].&amp;[2.8798E2]" c="287.98"/>
              <i n="[Sheet1].[Profit].&amp;[2.8799E2]" c="287.99"/>
              <i n="[Sheet1].[Profit].&amp;[2.88E2]" c="288"/>
              <i n="[Sheet1].[Profit].&amp;[2.8823E2]" c="288.23"/>
              <i n="[Sheet1].[Profit].&amp;[2.8838E2]" c="288.38"/>
              <i n="[Sheet1].[Profit].&amp;[2.8849E2]" c="288.49"/>
              <i n="[Sheet1].[Profit].&amp;[2.9001E2]" c="290.01"/>
              <i n="[Sheet1].[Profit].&amp;[2.9052E2]" c="290.52"/>
              <i n="[Sheet1].[Profit].&amp;[2.9099E2]" c="290.99"/>
              <i n="[Sheet1].[Profit].&amp;[2.9158E2]" c="291.58"/>
              <i n="[Sheet1].[Profit].&amp;[2.9253E2]" c="292.53"/>
              <i n="[Sheet1].[Profit].&amp;[2.9284E2]" c="292.84"/>
              <i n="[Sheet1].[Profit].&amp;[2.9295E2]" c="292.95"/>
              <i n="[Sheet1].[Profit].&amp;[2.9413E2]" c="294.13"/>
              <i n="[Sheet1].[Profit].&amp;[2.9443E2]" c="294.43"/>
              <i n="[Sheet1].[Profit].&amp;[2.9452E2]" c="294.52"/>
              <i n="[Sheet1].[Profit].&amp;[2.9463E2]" c="294.63"/>
              <i n="[Sheet1].[Profit].&amp;[2.9532E2]" c="295.32"/>
              <i n="[Sheet1].[Profit].&amp;[2.9541E2]" c="295.41"/>
              <i n="[Sheet1].[Profit].&amp;[2.9667E2]" c="296.67"/>
              <i n="[Sheet1].[Profit].&amp;[2.9709E2]" c="297.09"/>
              <i n="[Sheet1].[Profit].&amp;[2.9736E2]" c="297.36"/>
              <i n="[Sheet1].[Profit].&amp;[2.9938E2]" c="299.38"/>
              <i n="[Sheet1].[Profit].&amp;[2.9941E2]" c="299.41"/>
              <i n="[Sheet1].[Profit].&amp;[3.0014E2]" c="300.14"/>
              <i n="[Sheet1].[Profit].&amp;[3.0099E2]" c="300.99"/>
              <i n="[Sheet1].[Profit].&amp;[3.0151E2]" c="301.51"/>
              <i n="[Sheet1].[Profit].&amp;[3.0171E2]" c="301.71"/>
              <i n="[Sheet1].[Profit].&amp;[3.0189E2]" c="301.89"/>
              <i n="[Sheet1].[Profit].&amp;[3.02E2]" c="302"/>
              <i n="[Sheet1].[Profit].&amp;[3.0241E2]" c="302.41"/>
              <i n="[Sheet1].[Profit].&amp;[3.0276E2]" c="302.76"/>
              <i n="[Sheet1].[Profit].&amp;[3.0287E2]" c="302.87"/>
              <i n="[Sheet1].[Profit].&amp;[3.0307E2]" c="303.07"/>
              <i n="[Sheet1].[Profit].&amp;[3.0369E2]" c="303.69"/>
              <i n="[Sheet1].[Profit].&amp;[3.0489E2]" c="304.89"/>
              <i n="[Sheet1].[Profit].&amp;[3.0606E2]" c="306.06"/>
              <i n="[Sheet1].[Profit].&amp;[3.0609E2]" c="306.09"/>
              <i n="[Sheet1].[Profit].&amp;[3.0727E2]" c="307.27"/>
              <i n="[Sheet1].[Profit].&amp;[3.0752E2]" c="307.52"/>
              <i n="[Sheet1].[Profit].&amp;[3.0773E2]" c="307.73"/>
              <i n="[Sheet1].[Profit].&amp;[3.0795E2]" c="307.95"/>
              <i n="[Sheet1].[Profit].&amp;[3.0826E2]" c="308.26"/>
              <i n="[Sheet1].[Profit].&amp;[3.085E2]" c="308.5"/>
              <i n="[Sheet1].[Profit].&amp;[3.0915E2]" c="309.15"/>
              <i n="[Sheet1].[Profit].&amp;[3.0992E2]" c="309.92"/>
              <i n="[Sheet1].[Profit].&amp;[3.1009E2]" c="310.09"/>
              <i n="[Sheet1].[Profit].&amp;[3.1059E2]" c="310.59"/>
              <i n="[Sheet1].[Profit].&amp;[3.106E2]" c="310.6"/>
              <i n="[Sheet1].[Profit].&amp;[3.1231E2]" c="312.31"/>
              <i n="[Sheet1].[Profit].&amp;[3.1333E2]" c="313.33"/>
              <i n="[Sheet1].[Profit].&amp;[3.1397E2]" c="313.97"/>
              <i n="[Sheet1].[Profit].&amp;[3.1407E2]" c="314.07"/>
              <i n="[Sheet1].[Profit].&amp;[3.1443E2]" c="314.43"/>
              <i n="[Sheet1].[Profit].&amp;[3.1466E2]" c="314.66"/>
              <i n="[Sheet1].[Profit].&amp;[3.1495E2]" c="314.95"/>
              <i n="[Sheet1].[Profit].&amp;[3.1628E2]" c="316.28"/>
              <i n="[Sheet1].[Profit].&amp;[3.17E2]" c="317"/>
              <i n="[Sheet1].[Profit].&amp;[3.1753E2]" c="317.53"/>
              <i n="[Sheet1].[Profit].&amp;[3.1844E2]" c="318.44"/>
              <i n="[Sheet1].[Profit].&amp;[3.1877E2]" c="318.77"/>
              <i n="[Sheet1].[Profit].&amp;[3.1895E2]" c="318.95"/>
              <i n="[Sheet1].[Profit].&amp;[3.1908E2]" c="319.08"/>
              <i n="[Sheet1].[Profit].&amp;[3.1999E2]" c="319.99"/>
              <i n="[Sheet1].[Profit].&amp;[3.207E2]" c="320.7"/>
              <i n="[Sheet1].[Profit].&amp;[3.2131E2]" c="321.31"/>
              <i n="[Sheet1].[Profit].&amp;[3.2257E2]" c="322.57"/>
              <i n="[Sheet1].[Profit].&amp;[3.2258E2]" c="322.58"/>
            </range>
          </ranges>
        </level>
      </levels>
      <selections count="1">
        <selection n="[Sheet1].[Profi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FF53572-2F11-4746-A77A-23D7B194ECAF}" sourceName="[Sheet1].[Category]">
  <pivotTables>
    <pivotTable tabId="2" name="PivotTable4"/>
    <pivotTable tabId="2" name="PivotTable1"/>
    <pivotTable tabId="2" name="PivotTable2"/>
    <pivotTable tabId="2" name="PivotTable3"/>
    <pivotTable tabId="2" name="PivotTable5"/>
    <pivotTable tabId="2" name="PivotTable6"/>
  </pivotTables>
  <data>
    <olap pivotCacheId="1072022632">
      <levels count="2">
        <level uniqueName="[Sheet1].[Category].[(All)]" sourceCaption="(All)" count="0"/>
        <level uniqueName="[Sheet1].[Category].[Category]" sourceCaption="Category" count="4">
          <ranges>
            <range startItem="0">
              <i n="[Sheet1].[Category].&amp;[Color]" c="Color"/>
              <i n="[Sheet1].[Category].&amp;[Facials]" c="Facials"/>
              <i n="[Sheet1].[Category].&amp;[Haircut]" c="Haircut"/>
              <i n="[Sheet1].[Category].&amp;[Styling]" c="Styling"/>
            </range>
          </ranges>
        </level>
      </levels>
      <selections count="1">
        <selection n="[Sheet1].[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8E574FDE-C1C7-48AE-8B08-A037A316B6DF}" sourceName="[Sheet1].[Season]">
  <pivotTables>
    <pivotTable tabId="2" name="PivotTable4"/>
    <pivotTable tabId="2" name="PivotTable1"/>
    <pivotTable tabId="2" name="PivotTable2"/>
    <pivotTable tabId="2" name="PivotTable3"/>
    <pivotTable tabId="2" name="PivotTable5"/>
    <pivotTable tabId="2" name="PivotTable6"/>
  </pivotTables>
  <data>
    <olap pivotCacheId="1072022632">
      <levels count="2">
        <level uniqueName="[Sheet1].[Season].[(All)]" sourceCaption="(All)" count="0"/>
        <level uniqueName="[Sheet1].[Season].[Season]" sourceCaption="Season" count="4">
          <ranges>
            <range startItem="0">
              <i n="[Sheet1].[Season].&amp;[Fall]" c="Fall"/>
              <i n="[Sheet1].[Season].&amp;[Spring]" c="Spring"/>
              <i n="[Sheet1].[Season].&amp;[Summer]" c="Summer"/>
              <i n="[Sheet1].[Season].&amp;[Winter]" c="Winter"/>
            </range>
          </ranges>
        </level>
      </levels>
      <selections count="1">
        <selection n="[Sheet1].[Season].[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d_Spend" xr10:uid="{10D1BE59-29F4-4062-A345-839E75AAE919}" sourceName="[Sheet1].[Ad Spend]">
  <pivotTables>
    <pivotTable tabId="2" name="PivotTable4"/>
    <pivotTable tabId="2" name="PivotTable1"/>
    <pivotTable tabId="2" name="PivotTable2"/>
    <pivotTable tabId="2" name="PivotTable3"/>
    <pivotTable tabId="2" name="PivotTable5"/>
    <pivotTable tabId="2" name="PivotTable6"/>
  </pivotTables>
  <data>
    <olap pivotCacheId="1072022632">
      <levels count="2">
        <level uniqueName="[Sheet1].[Ad Spend].[(All)]" sourceCaption="(All)" count="0"/>
        <level uniqueName="[Sheet1].[Ad Spend].[Ad Spend]" sourceCaption="Ad Spend" count="1863">
          <ranges>
            <range startItem="0">
              <i n="[Sheet1].[Ad Spend].&amp;[5.29]" c="5.29"/>
              <i n="[Sheet1].[Ad Spend].&amp;[5.33]" c="5.33"/>
              <i n="[Sheet1].[Ad Spend].&amp;[5.7]" c="5.7"/>
              <i n="[Sheet1].[Ad Spend].&amp;[5.71]" c="5.71"/>
              <i n="[Sheet1].[Ad Spend].&amp;[5.78]" c="5.78"/>
              <i n="[Sheet1].[Ad Spend].&amp;[5.84]" c="5.84"/>
              <i n="[Sheet1].[Ad Spend].&amp;[5.97]" c="5.97"/>
              <i n="[Sheet1].[Ad Spend].&amp;[6.05]" c="6.05"/>
              <i n="[Sheet1].[Ad Spend].&amp;[6.2]" c="6.2"/>
              <i n="[Sheet1].[Ad Spend].&amp;[6.23]" c="6.23"/>
              <i n="[Sheet1].[Ad Spend].&amp;[6.26]" c="6.26"/>
              <i n="[Sheet1].[Ad Spend].&amp;[6.49]" c="6.49"/>
              <i n="[Sheet1].[Ad Spend].&amp;[6.53]" c="6.53"/>
              <i n="[Sheet1].[Ad Spend].&amp;[6.56]" c="6.56"/>
              <i n="[Sheet1].[Ad Spend].&amp;[6.78]" c="6.78"/>
              <i n="[Sheet1].[Ad Spend].&amp;[6.88]" c="6.88"/>
              <i n="[Sheet1].[Ad Spend].&amp;[6.91]" c="6.91"/>
              <i n="[Sheet1].[Ad Spend].&amp;[7.02]" c="7.02"/>
              <i n="[Sheet1].[Ad Spend].&amp;[7.09]" c="7.09"/>
              <i n="[Sheet1].[Ad Spend].&amp;[7.12]" c="7.12"/>
              <i n="[Sheet1].[Ad Spend].&amp;[7.19]" c="7.19"/>
              <i n="[Sheet1].[Ad Spend].&amp;[7.23]" c="7.23"/>
              <i n="[Sheet1].[Ad Spend].&amp;[7.48]" c="7.48"/>
              <i n="[Sheet1].[Ad Spend].&amp;[7.56]" c="7.56"/>
              <i n="[Sheet1].[Ad Spend].&amp;[7.78]" c="7.78"/>
              <i n="[Sheet1].[Ad Spend].&amp;[7.79]" c="7.79"/>
              <i n="[Sheet1].[Ad Spend].&amp;[8.19]" c="8.19"/>
              <i n="[Sheet1].[Ad Spend].&amp;[8.33]" c="8.33"/>
              <i n="[Sheet1].[Ad Spend].&amp;[8.51]" c="8.51"/>
              <i n="[Sheet1].[Ad Spend].&amp;[8.56]" c="8.56"/>
              <i n="[Sheet1].[Ad Spend].&amp;[8.89]" c="8.89"/>
              <i n="[Sheet1].[Ad Spend].&amp;[8.91]" c="8.91"/>
              <i n="[Sheet1].[Ad Spend].&amp;[8.99]" c="8.99"/>
              <i n="[Sheet1].[Ad Spend].&amp;[9.32]" c="9.32"/>
              <i n="[Sheet1].[Ad Spend].&amp;[9.38]" c="9.38"/>
              <i n="[Sheet1].[Ad Spend].&amp;[9.76]" c="9.76"/>
              <i n="[Sheet1].[Ad Spend].&amp;[9.77]" c="9.77"/>
              <i n="[Sheet1].[Ad Spend].&amp;[9.86]" c="9.86"/>
              <i n="[Sheet1].[Ad Spend].&amp;[9.97]" c="9.97"/>
              <i n="[Sheet1].[Ad Spend].&amp;[1.002E1]" c="10.02"/>
              <i n="[Sheet1].[Ad Spend].&amp;[1.003E1]" c="10.03"/>
              <i n="[Sheet1].[Ad Spend].&amp;[1.01E1]" c="10.1"/>
              <i n="[Sheet1].[Ad Spend].&amp;[1.012E1]" c="10.12"/>
              <i n="[Sheet1].[Ad Spend].&amp;[1.015E1]" c="10.15"/>
              <i n="[Sheet1].[Ad Spend].&amp;[1.016E1]" c="10.16"/>
              <i n="[Sheet1].[Ad Spend].&amp;[1.019E1]" c="10.19"/>
              <i n="[Sheet1].[Ad Spend].&amp;[1.021E1]" c="10.21"/>
              <i n="[Sheet1].[Ad Spend].&amp;[1.023E1]" c="10.23"/>
              <i n="[Sheet1].[Ad Spend].&amp;[1.026E1]" c="10.26"/>
              <i n="[Sheet1].[Ad Spend].&amp;[1.04E1]" c="10.4"/>
              <i n="[Sheet1].[Ad Spend].&amp;[1.042E1]" c="10.42"/>
              <i n="[Sheet1].[Ad Spend].&amp;[1.053E1]" c="10.53"/>
              <i n="[Sheet1].[Ad Spend].&amp;[1.055E1]" c="10.55"/>
              <i n="[Sheet1].[Ad Spend].&amp;[1.069E1]" c="10.69"/>
              <i n="[Sheet1].[Ad Spend].&amp;[1.077E1]" c="10.77"/>
              <i n="[Sheet1].[Ad Spend].&amp;[1.086E1]" c="10.86"/>
              <i n="[Sheet1].[Ad Spend].&amp;[1.087E1]" c="10.87"/>
              <i n="[Sheet1].[Ad Spend].&amp;[1.096E1]" c="10.96"/>
              <i n="[Sheet1].[Ad Spend].&amp;[1.107E1]" c="11.07"/>
              <i n="[Sheet1].[Ad Spend].&amp;[1.115E1]" c="11.15"/>
              <i n="[Sheet1].[Ad Spend].&amp;[1.118E1]" c="11.18"/>
              <i n="[Sheet1].[Ad Spend].&amp;[1.129E1]" c="11.29"/>
              <i n="[Sheet1].[Ad Spend].&amp;[1.136E1]" c="11.36"/>
              <i n="[Sheet1].[Ad Spend].&amp;[1.14E1]" c="11.4"/>
              <i n="[Sheet1].[Ad Spend].&amp;[1.141E1]" c="11.41"/>
              <i n="[Sheet1].[Ad Spend].&amp;[1.152E1]" c="11.52"/>
              <i n="[Sheet1].[Ad Spend].&amp;[1.179E1]" c="11.79"/>
              <i n="[Sheet1].[Ad Spend].&amp;[1.193E1]" c="11.93"/>
              <i n="[Sheet1].[Ad Spend].&amp;[1.217E1]" c="12.17"/>
              <i n="[Sheet1].[Ad Spend].&amp;[1.239E1]" c="12.39"/>
              <i n="[Sheet1].[Ad Spend].&amp;[1.267E1]" c="12.67"/>
              <i n="[Sheet1].[Ad Spend].&amp;[1.279E1]" c="12.79"/>
              <i n="[Sheet1].[Ad Spend].&amp;[1.285E1]" c="12.85"/>
              <i n="[Sheet1].[Ad Spend].&amp;[1.287E1]" c="12.87"/>
              <i n="[Sheet1].[Ad Spend].&amp;[1.289E1]" c="12.89"/>
              <i n="[Sheet1].[Ad Spend].&amp;[1.292E1]" c="12.92"/>
              <i n="[Sheet1].[Ad Spend].&amp;[1.298E1]" c="12.98"/>
              <i n="[Sheet1].[Ad Spend].&amp;[1.299E1]" c="12.99"/>
              <i n="[Sheet1].[Ad Spend].&amp;[1.315E1]" c="13.15"/>
              <i n="[Sheet1].[Ad Spend].&amp;[1.327E1]" c="13.27"/>
              <i n="[Sheet1].[Ad Spend].&amp;[1.339E1]" c="13.39"/>
              <i n="[Sheet1].[Ad Spend].&amp;[1.345E1]" c="13.45"/>
              <i n="[Sheet1].[Ad Spend].&amp;[1.349E1]" c="13.49"/>
              <i n="[Sheet1].[Ad Spend].&amp;[1.363E1]" c="13.63"/>
              <i n="[Sheet1].[Ad Spend].&amp;[1.38E1]" c="13.8"/>
              <i n="[Sheet1].[Ad Spend].&amp;[1.423E1]" c="14.23"/>
              <i n="[Sheet1].[Ad Spend].&amp;[1.431E1]" c="14.31"/>
              <i n="[Sheet1].[Ad Spend].&amp;[1.436E1]" c="14.36"/>
              <i n="[Sheet1].[Ad Spend].&amp;[1.438E1]" c="14.38"/>
              <i n="[Sheet1].[Ad Spend].&amp;[1.44E1]" c="14.4"/>
              <i n="[Sheet1].[Ad Spend].&amp;[1.441E1]" c="14.41"/>
              <i n="[Sheet1].[Ad Spend].&amp;[1.449E1]" c="14.49"/>
              <i n="[Sheet1].[Ad Spend].&amp;[1.459E1]" c="14.59"/>
              <i n="[Sheet1].[Ad Spend].&amp;[1.467E1]" c="14.67"/>
              <i n="[Sheet1].[Ad Spend].&amp;[1.484E1]" c="14.84"/>
              <i n="[Sheet1].[Ad Spend].&amp;[1.525E1]" c="15.25"/>
              <i n="[Sheet1].[Ad Spend].&amp;[1.533E1]" c="15.33"/>
              <i n="[Sheet1].[Ad Spend].&amp;[1.534E1]" c="15.34"/>
              <i n="[Sheet1].[Ad Spend].&amp;[1.546E1]" c="15.46"/>
              <i n="[Sheet1].[Ad Spend].&amp;[1.547E1]" c="15.47"/>
              <i n="[Sheet1].[Ad Spend].&amp;[1.551E1]" c="15.51"/>
              <i n="[Sheet1].[Ad Spend].&amp;[1.573E1]" c="15.73"/>
              <i n="[Sheet1].[Ad Spend].&amp;[1.611E1]" c="16.11"/>
              <i n="[Sheet1].[Ad Spend].&amp;[1.627E1]" c="16.27"/>
              <i n="[Sheet1].[Ad Spend].&amp;[1.636E1]" c="16.36"/>
              <i n="[Sheet1].[Ad Spend].&amp;[1.638E1]" c="16.38"/>
              <i n="[Sheet1].[Ad Spend].&amp;[1.64E1]" c="16.4"/>
              <i n="[Sheet1].[Ad Spend].&amp;[1.645E1]" c="16.45"/>
              <i n="[Sheet1].[Ad Spend].&amp;[1.654E1]" c="16.54"/>
              <i n="[Sheet1].[Ad Spend].&amp;[1.667E1]" c="16.67"/>
              <i n="[Sheet1].[Ad Spend].&amp;[1.67E1]" c="16.7"/>
              <i n="[Sheet1].[Ad Spend].&amp;[1.685E1]" c="16.85"/>
              <i n="[Sheet1].[Ad Spend].&amp;[1.694E1]" c="16.94"/>
              <i n="[Sheet1].[Ad Spend].&amp;[1.696E1]" c="16.96"/>
              <i n="[Sheet1].[Ad Spend].&amp;[1.703E1]" c="17.03"/>
              <i n="[Sheet1].[Ad Spend].&amp;[1.71E1]" c="17.1"/>
              <i n="[Sheet1].[Ad Spend].&amp;[1.724E1]" c="17.24"/>
              <i n="[Sheet1].[Ad Spend].&amp;[1.725E1]" c="17.25"/>
              <i n="[Sheet1].[Ad Spend].&amp;[1.732E1]" c="17.32"/>
              <i n="[Sheet1].[Ad Spend].&amp;[1.741E1]" c="17.41"/>
              <i n="[Sheet1].[Ad Spend].&amp;[1.747E1]" c="17.47"/>
              <i n="[Sheet1].[Ad Spend].&amp;[1.752E1]" c="17.52"/>
              <i n="[Sheet1].[Ad Spend].&amp;[1.766E1]" c="17.66"/>
              <i n="[Sheet1].[Ad Spend].&amp;[1.773E1]" c="17.73"/>
              <i n="[Sheet1].[Ad Spend].&amp;[1.778E1]" c="17.78"/>
              <i n="[Sheet1].[Ad Spend].&amp;[1.787E1]" c="17.87"/>
              <i n="[Sheet1].[Ad Spend].&amp;[1.791E1]" c="17.91"/>
              <i n="[Sheet1].[Ad Spend].&amp;[1.795E1]" c="17.95"/>
              <i n="[Sheet1].[Ad Spend].&amp;[1.81E1]" c="18.1"/>
              <i n="[Sheet1].[Ad Spend].&amp;[1.825E1]" c="18.25"/>
              <i n="[Sheet1].[Ad Spend].&amp;[1.834E1]" c="18.34"/>
              <i n="[Sheet1].[Ad Spend].&amp;[1.854E1]" c="18.54"/>
              <i n="[Sheet1].[Ad Spend].&amp;[1.858E1]" c="18.58"/>
              <i n="[Sheet1].[Ad Spend].&amp;[1.862E1]" c="18.62"/>
              <i n="[Sheet1].[Ad Spend].&amp;[1.867E1]" c="18.67"/>
              <i n="[Sheet1].[Ad Spend].&amp;[1.904E1]" c="19.04"/>
              <i n="[Sheet1].[Ad Spend].&amp;[1.909E1]" c="19.09"/>
              <i n="[Sheet1].[Ad Spend].&amp;[1.916E1]" c="19.16"/>
              <i n="[Sheet1].[Ad Spend].&amp;[1.922E1]" c="19.22"/>
              <i n="[Sheet1].[Ad Spend].&amp;[1.931E1]" c="19.31"/>
              <i n="[Sheet1].[Ad Spend].&amp;[1.94E1]" c="19.4"/>
              <i n="[Sheet1].[Ad Spend].&amp;[1.965E1]" c="19.65"/>
              <i n="[Sheet1].[Ad Spend].&amp;[1.97E1]" c="19.7"/>
              <i n="[Sheet1].[Ad Spend].&amp;[1.98E1]" c="19.8"/>
              <i n="[Sheet1].[Ad Spend].&amp;[1.983E1]" c="19.83"/>
              <i n="[Sheet1].[Ad Spend].&amp;[1.989E1]" c="19.89"/>
              <i n="[Sheet1].[Ad Spend].&amp;[2.016E1]" c="20.16"/>
              <i n="[Sheet1].[Ad Spend].&amp;[2.019E1]" c="20.19"/>
              <i n="[Sheet1].[Ad Spend].&amp;[2.049E1]" c="20.49"/>
              <i n="[Sheet1].[Ad Spend].&amp;[2.114E1]" c="21.14"/>
              <i n="[Sheet1].[Ad Spend].&amp;[2.118E1]" c="21.18"/>
              <i n="[Sheet1].[Ad Spend].&amp;[2.121E1]" c="21.21"/>
              <i n="[Sheet1].[Ad Spend].&amp;[2.128E1]" c="21.28"/>
              <i n="[Sheet1].[Ad Spend].&amp;[2.142E1]" c="21.42"/>
              <i n="[Sheet1].[Ad Spend].&amp;[2.148E1]" c="21.48"/>
              <i n="[Sheet1].[Ad Spend].&amp;[2.152E1]" c="21.52"/>
              <i n="[Sheet1].[Ad Spend].&amp;[2.16E1]" c="21.6"/>
              <i n="[Sheet1].[Ad Spend].&amp;[2.171E1]" c="21.71"/>
              <i n="[Sheet1].[Ad Spend].&amp;[2.206E1]" c="22.06"/>
              <i n="[Sheet1].[Ad Spend].&amp;[2.216E1]" c="22.16"/>
              <i n="[Sheet1].[Ad Spend].&amp;[2.224E1]" c="22.24"/>
              <i n="[Sheet1].[Ad Spend].&amp;[2.227E1]" c="22.27"/>
              <i n="[Sheet1].[Ad Spend].&amp;[2.228E1]" c="22.28"/>
              <i n="[Sheet1].[Ad Spend].&amp;[2.232E1]" c="22.32"/>
              <i n="[Sheet1].[Ad Spend].&amp;[2.237E1]" c="22.37"/>
              <i n="[Sheet1].[Ad Spend].&amp;[2.262E1]" c="22.62"/>
              <i n="[Sheet1].[Ad Spend].&amp;[2.274E1]" c="22.74"/>
              <i n="[Sheet1].[Ad Spend].&amp;[2.284E1]" c="22.84"/>
              <i n="[Sheet1].[Ad Spend].&amp;[2.299E1]" c="22.99"/>
              <i n="[Sheet1].[Ad Spend].&amp;[2.301E1]" c="23.01"/>
              <i n="[Sheet1].[Ad Spend].&amp;[2.331E1]" c="23.31"/>
              <i n="[Sheet1].[Ad Spend].&amp;[2.352E1]" c="23.52"/>
              <i n="[Sheet1].[Ad Spend].&amp;[2.354E1]" c="23.54"/>
              <i n="[Sheet1].[Ad Spend].&amp;[2.393E1]" c="23.93"/>
              <i n="[Sheet1].[Ad Spend].&amp;[2.412E1]" c="24.12"/>
              <i n="[Sheet1].[Ad Spend].&amp;[2.414E1]" c="24.14"/>
              <i n="[Sheet1].[Ad Spend].&amp;[2.417E1]" c="24.17"/>
              <i n="[Sheet1].[Ad Spend].&amp;[2.434E1]" c="24.34"/>
              <i n="[Sheet1].[Ad Spend].&amp;[2.468E1]" c="24.68"/>
              <i n="[Sheet1].[Ad Spend].&amp;[2.478E1]" c="24.78"/>
              <i n="[Sheet1].[Ad Spend].&amp;[2.507E1]" c="25.07"/>
              <i n="[Sheet1].[Ad Spend].&amp;[2.514E1]" c="25.14"/>
              <i n="[Sheet1].[Ad Spend].&amp;[2.525E1]" c="25.25"/>
              <i n="[Sheet1].[Ad Spend].&amp;[2.533E1]" c="25.33"/>
              <i n="[Sheet1].[Ad Spend].&amp;[2.534E1]" c="25.34"/>
              <i n="[Sheet1].[Ad Spend].&amp;[2.539E1]" c="25.39"/>
              <i n="[Sheet1].[Ad Spend].&amp;[2.547E1]" c="25.47"/>
              <i n="[Sheet1].[Ad Spend].&amp;[2.55E1]" c="25.5"/>
              <i n="[Sheet1].[Ad Spend].&amp;[2.572E1]" c="25.72"/>
              <i n="[Sheet1].[Ad Spend].&amp;[2.591E1]" c="25.91"/>
              <i n="[Sheet1].[Ad Spend].&amp;[2.598E1]" c="25.98"/>
              <i n="[Sheet1].[Ad Spend].&amp;[2.601E1]" c="26.01"/>
              <i n="[Sheet1].[Ad Spend].&amp;[2.609E1]" c="26.09"/>
              <i n="[Sheet1].[Ad Spend].&amp;[2.619E1]" c="26.19"/>
              <i n="[Sheet1].[Ad Spend].&amp;[2.625E1]" c="26.25"/>
              <i n="[Sheet1].[Ad Spend].&amp;[2.666E1]" c="26.66"/>
              <i n="[Sheet1].[Ad Spend].&amp;[2.673E1]" c="26.73"/>
              <i n="[Sheet1].[Ad Spend].&amp;[2.683E1]" c="26.83"/>
              <i n="[Sheet1].[Ad Spend].&amp;[2.686E1]" c="26.86"/>
              <i n="[Sheet1].[Ad Spend].&amp;[2.691E1]" c="26.91"/>
              <i n="[Sheet1].[Ad Spend].&amp;[2.694E1]" c="26.94"/>
              <i n="[Sheet1].[Ad Spend].&amp;[2.695E1]" c="26.95"/>
              <i n="[Sheet1].[Ad Spend].&amp;[2.704E1]" c="27.04"/>
              <i n="[Sheet1].[Ad Spend].&amp;[2.713E1]" c="27.13"/>
              <i n="[Sheet1].[Ad Spend].&amp;[2.74E1]" c="27.4"/>
              <i n="[Sheet1].[Ad Spend].&amp;[2.77E1]" c="27.7"/>
              <i n="[Sheet1].[Ad Spend].&amp;[2.778E1]" c="27.78"/>
              <i n="[Sheet1].[Ad Spend].&amp;[2.79E1]" c="27.9"/>
              <i n="[Sheet1].[Ad Spend].&amp;[2.792E1]" c="27.92"/>
              <i n="[Sheet1].[Ad Spend].&amp;[2.807E1]" c="28.07"/>
              <i n="[Sheet1].[Ad Spend].&amp;[2.818E1]" c="28.18"/>
              <i n="[Sheet1].[Ad Spend].&amp;[2.82E1]" c="28.2"/>
              <i n="[Sheet1].[Ad Spend].&amp;[2.849E1]" c="28.49"/>
              <i n="[Sheet1].[Ad Spend].&amp;[2.859E1]" c="28.59"/>
              <i n="[Sheet1].[Ad Spend].&amp;[2.869E1]" c="28.69"/>
              <i n="[Sheet1].[Ad Spend].&amp;[2.87E1]" c="28.7"/>
              <i n="[Sheet1].[Ad Spend].&amp;[2.875E1]" c="28.75"/>
              <i n="[Sheet1].[Ad Spend].&amp;[2.879E1]" c="28.79"/>
              <i n="[Sheet1].[Ad Spend].&amp;[2.883E1]" c="28.83"/>
              <i n="[Sheet1].[Ad Spend].&amp;[2.889E1]" c="28.89"/>
              <i n="[Sheet1].[Ad Spend].&amp;[2.893E1]" c="28.93"/>
              <i n="[Sheet1].[Ad Spend].&amp;[2.897E1]" c="28.97"/>
              <i n="[Sheet1].[Ad Spend].&amp;[2.903E1]" c="29.03"/>
              <i n="[Sheet1].[Ad Spend].&amp;[2.915E1]" c="29.15"/>
              <i n="[Sheet1].[Ad Spend].&amp;[2.957E1]" c="29.57"/>
              <i n="[Sheet1].[Ad Spend].&amp;[2.959E1]" c="29.59"/>
              <i n="[Sheet1].[Ad Spend].&amp;[2.966E1]" c="29.66"/>
              <i n="[Sheet1].[Ad Spend].&amp;[2.982E1]" c="29.82"/>
              <i n="[Sheet1].[Ad Spend].&amp;[2.983E1]" c="29.83"/>
              <i n="[Sheet1].[Ad Spend].&amp;[2.995E1]" c="29.95"/>
              <i n="[Sheet1].[Ad Spend].&amp;[3.003E1]" c="30.03"/>
              <i n="[Sheet1].[Ad Spend].&amp;[3.006E1]" c="30.06"/>
              <i n="[Sheet1].[Ad Spend].&amp;[3.018E1]" c="30.18"/>
              <i n="[Sheet1].[Ad Spend].&amp;[3.033E1]" c="30.33"/>
              <i n="[Sheet1].[Ad Spend].&amp;[3.036E1]" c="30.36"/>
              <i n="[Sheet1].[Ad Spend].&amp;[3.037E1]" c="30.37"/>
              <i n="[Sheet1].[Ad Spend].&amp;[3.039E1]" c="30.39"/>
              <i n="[Sheet1].[Ad Spend].&amp;[3.046E1]" c="30.46"/>
              <i n="[Sheet1].[Ad Spend].&amp;[3.054E1]" c="30.54"/>
              <i n="[Sheet1].[Ad Spend].&amp;[3.059E1]" c="30.59"/>
              <i n="[Sheet1].[Ad Spend].&amp;[3.072E1]" c="30.72"/>
              <i n="[Sheet1].[Ad Spend].&amp;[3.074E1]" c="30.74"/>
              <i n="[Sheet1].[Ad Spend].&amp;[3.089E1]" c="30.89"/>
              <i n="[Sheet1].[Ad Spend].&amp;[3.091E1]" c="30.91"/>
              <i n="[Sheet1].[Ad Spend].&amp;[3.098E1]" c="30.98"/>
              <i n="[Sheet1].[Ad Spend].&amp;[3.101E1]" c="31.01"/>
              <i n="[Sheet1].[Ad Spend].&amp;[3.12E1]" c="31.2"/>
              <i n="[Sheet1].[Ad Spend].&amp;[3.14E1]" c="31.4"/>
              <i n="[Sheet1].[Ad Spend].&amp;[3.143E1]" c="31.43"/>
              <i n="[Sheet1].[Ad Spend].&amp;[3.156E1]" c="31.56"/>
              <i n="[Sheet1].[Ad Spend].&amp;[3.161E1]" c="31.61"/>
              <i n="[Sheet1].[Ad Spend].&amp;[3.173E1]" c="31.73"/>
              <i n="[Sheet1].[Ad Spend].&amp;[3.178E1]" c="31.78"/>
              <i n="[Sheet1].[Ad Spend].&amp;[3.183E1]" c="31.83"/>
              <i n="[Sheet1].[Ad Spend].&amp;[3.198E1]" c="31.98"/>
              <i n="[Sheet1].[Ad Spend].&amp;[3.2E1]" c="32"/>
              <i n="[Sheet1].[Ad Spend].&amp;[3.204E1]" c="32.04"/>
              <i n="[Sheet1].[Ad Spend].&amp;[3.208E1]" c="32.08"/>
              <i n="[Sheet1].[Ad Spend].&amp;[3.213E1]" c="32.13"/>
              <i n="[Sheet1].[Ad Spend].&amp;[3.223E1]" c="32.23"/>
              <i n="[Sheet1].[Ad Spend].&amp;[3.234E1]" c="32.34"/>
              <i n="[Sheet1].[Ad Spend].&amp;[3.271E1]" c="32.71"/>
              <i n="[Sheet1].[Ad Spend].&amp;[3.278E1]" c="32.78"/>
              <i n="[Sheet1].[Ad Spend].&amp;[3.283E1]" c="32.83"/>
              <i n="[Sheet1].[Ad Spend].&amp;[3.32E1]" c="33.2"/>
              <i n="[Sheet1].[Ad Spend].&amp;[3.334E1]" c="33.34"/>
              <i n="[Sheet1].[Ad Spend].&amp;[3.352E1]" c="33.52"/>
              <i n="[Sheet1].[Ad Spend].&amp;[3.369E1]" c="33.69"/>
              <i n="[Sheet1].[Ad Spend].&amp;[3.375E1]" c="33.75"/>
              <i n="[Sheet1].[Ad Spend].&amp;[3.381E1]" c="33.81"/>
              <i n="[Sheet1].[Ad Spend].&amp;[3.383E1]" c="33.83"/>
              <i n="[Sheet1].[Ad Spend].&amp;[3.403E1]" c="34.03"/>
              <i n="[Sheet1].[Ad Spend].&amp;[3.404E1]" c="34.04"/>
              <i n="[Sheet1].[Ad Spend].&amp;[3.416E1]" c="34.16"/>
              <i n="[Sheet1].[Ad Spend].&amp;[3.443E1]" c="34.43"/>
              <i n="[Sheet1].[Ad Spend].&amp;[3.452E1]" c="34.52"/>
              <i n="[Sheet1].[Ad Spend].&amp;[3.453E1]" c="34.53"/>
              <i n="[Sheet1].[Ad Spend].&amp;[3.456E1]" c="34.56"/>
              <i n="[Sheet1].[Ad Spend].&amp;[3.488E1]" c="34.88"/>
              <i n="[Sheet1].[Ad Spend].&amp;[3.506E1]" c="35.06"/>
              <i n="[Sheet1].[Ad Spend].&amp;[3.536E1]" c="35.36"/>
              <i n="[Sheet1].[Ad Spend].&amp;[3.561E1]" c="35.61"/>
              <i n="[Sheet1].[Ad Spend].&amp;[3.567E1]" c="35.67"/>
              <i n="[Sheet1].[Ad Spend].&amp;[3.58E1]" c="35.8"/>
              <i n="[Sheet1].[Ad Spend].&amp;[3.584E1]" c="35.84"/>
              <i n="[Sheet1].[Ad Spend].&amp;[3.609E1]" c="36.09"/>
              <i n="[Sheet1].[Ad Spend].&amp;[3.614E1]" c="36.14"/>
              <i n="[Sheet1].[Ad Spend].&amp;[3.625E1]" c="36.25"/>
              <i n="[Sheet1].[Ad Spend].&amp;[3.634E1]" c="36.34"/>
              <i n="[Sheet1].[Ad Spend].&amp;[3.637E1]" c="36.37"/>
              <i n="[Sheet1].[Ad Spend].&amp;[3.641E1]" c="36.41"/>
              <i n="[Sheet1].[Ad Spend].&amp;[3.665E1]" c="36.65"/>
              <i n="[Sheet1].[Ad Spend].&amp;[3.676E1]" c="36.76"/>
              <i n="[Sheet1].[Ad Spend].&amp;[3.689E1]" c="36.89"/>
              <i n="[Sheet1].[Ad Spend].&amp;[3.693E1]" c="36.93"/>
              <i n="[Sheet1].[Ad Spend].&amp;[3.699E1]" c="36.99"/>
              <i n="[Sheet1].[Ad Spend].&amp;[3.717E1]" c="37.17"/>
              <i n="[Sheet1].[Ad Spend].&amp;[3.722E1]" c="37.22"/>
              <i n="[Sheet1].[Ad Spend].&amp;[3.723E1]" c="37.23"/>
              <i n="[Sheet1].[Ad Spend].&amp;[3.744E1]" c="37.44"/>
              <i n="[Sheet1].[Ad Spend].&amp;[3.768E1]" c="37.68"/>
              <i n="[Sheet1].[Ad Spend].&amp;[3.771E1]" c="37.71"/>
              <i n="[Sheet1].[Ad Spend].&amp;[3.773E1]" c="37.73"/>
              <i n="[Sheet1].[Ad Spend].&amp;[3.785E1]" c="37.85"/>
              <i n="[Sheet1].[Ad Spend].&amp;[3.791E1]" c="37.91"/>
              <i n="[Sheet1].[Ad Spend].&amp;[3.803E1]" c="38.03"/>
              <i n="[Sheet1].[Ad Spend].&amp;[3.809E1]" c="38.09"/>
              <i n="[Sheet1].[Ad Spend].&amp;[3.811E1]" c="38.11"/>
              <i n="[Sheet1].[Ad Spend].&amp;[3.821E1]" c="38.21"/>
              <i n="[Sheet1].[Ad Spend].&amp;[3.827E1]" c="38.27"/>
              <i n="[Sheet1].[Ad Spend].&amp;[3.83E1]" c="38.3"/>
              <i n="[Sheet1].[Ad Spend].&amp;[3.88E1]" c="38.8"/>
              <i n="[Sheet1].[Ad Spend].&amp;[3.882E1]" c="38.82"/>
              <i n="[Sheet1].[Ad Spend].&amp;[3.898E1]" c="38.98"/>
              <i n="[Sheet1].[Ad Spend].&amp;[3.902E1]" c="39.02"/>
              <i n="[Sheet1].[Ad Spend].&amp;[3.908E1]" c="39.08"/>
              <i n="[Sheet1].[Ad Spend].&amp;[3.917E1]" c="39.17"/>
              <i n="[Sheet1].[Ad Spend].&amp;[3.936E1]" c="39.36"/>
              <i n="[Sheet1].[Ad Spend].&amp;[3.977E1]" c="39.77"/>
              <i n="[Sheet1].[Ad Spend].&amp;[3.991E1]" c="39.91"/>
              <i n="[Sheet1].[Ad Spend].&amp;[3.992E1]" c="39.92"/>
              <i n="[Sheet1].[Ad Spend].&amp;[4.001E1]" c="40.01"/>
              <i n="[Sheet1].[Ad Spend].&amp;[4.004E1]" c="40.04"/>
              <i n="[Sheet1].[Ad Spend].&amp;[4.01E1]" c="40.1"/>
              <i n="[Sheet1].[Ad Spend].&amp;[4.013E1]" c="40.13"/>
              <i n="[Sheet1].[Ad Spend].&amp;[4.034E1]" c="40.34"/>
              <i n="[Sheet1].[Ad Spend].&amp;[4.047E1]" c="40.47"/>
              <i n="[Sheet1].[Ad Spend].&amp;[4.057E1]" c="40.57"/>
              <i n="[Sheet1].[Ad Spend].&amp;[4.06E1]" c="40.6"/>
              <i n="[Sheet1].[Ad Spend].&amp;[4.072E1]" c="40.72"/>
              <i n="[Sheet1].[Ad Spend].&amp;[4.079E1]" c="40.79"/>
              <i n="[Sheet1].[Ad Spend].&amp;[4.087E1]" c="40.87"/>
              <i n="[Sheet1].[Ad Spend].&amp;[4.092E1]" c="40.92"/>
              <i n="[Sheet1].[Ad Spend].&amp;[4.108E1]" c="41.08"/>
              <i n="[Sheet1].[Ad Spend].&amp;[4.11E1]" c="41.1"/>
              <i n="[Sheet1].[Ad Spend].&amp;[4.124E1]" c="41.24"/>
              <i n="[Sheet1].[Ad Spend].&amp;[4.14E1]" c="41.4"/>
              <i n="[Sheet1].[Ad Spend].&amp;[4.147E1]" c="41.47"/>
              <i n="[Sheet1].[Ad Spend].&amp;[4.148E1]" c="41.48"/>
              <i n="[Sheet1].[Ad Spend].&amp;[4.178E1]" c="41.78"/>
              <i n="[Sheet1].[Ad Spend].&amp;[4.182E1]" c="41.82"/>
              <i n="[Sheet1].[Ad Spend].&amp;[4.189E1]" c="41.89"/>
              <i n="[Sheet1].[Ad Spend].&amp;[4.208E1]" c="42.08"/>
              <i n="[Sheet1].[Ad Spend].&amp;[4.228E1]" c="42.28"/>
              <i n="[Sheet1].[Ad Spend].&amp;[4.236E1]" c="42.36"/>
              <i n="[Sheet1].[Ad Spend].&amp;[4.263E1]" c="42.63"/>
              <i n="[Sheet1].[Ad Spend].&amp;[4.269E1]" c="42.69"/>
              <i n="[Sheet1].[Ad Spend].&amp;[4.29E1]" c="42.9"/>
              <i n="[Sheet1].[Ad Spend].&amp;[4.303E1]" c="43.03"/>
              <i n="[Sheet1].[Ad Spend].&amp;[4.315E1]" c="43.15"/>
              <i n="[Sheet1].[Ad Spend].&amp;[4.32E1]" c="43.2"/>
              <i n="[Sheet1].[Ad Spend].&amp;[4.324E1]" c="43.24"/>
              <i n="[Sheet1].[Ad Spend].&amp;[4.33E1]" c="43.3"/>
              <i n="[Sheet1].[Ad Spend].&amp;[4.337E1]" c="43.37"/>
              <i n="[Sheet1].[Ad Spend].&amp;[4.355E1]" c="43.55"/>
              <i n="[Sheet1].[Ad Spend].&amp;[4.358E1]" c="43.58"/>
              <i n="[Sheet1].[Ad Spend].&amp;[4.364E1]" c="43.64"/>
              <i n="[Sheet1].[Ad Spend].&amp;[4.367E1]" c="43.67"/>
              <i n="[Sheet1].[Ad Spend].&amp;[4.374E1]" c="43.74"/>
              <i n="[Sheet1].[Ad Spend].&amp;[4.397E1]" c="43.97"/>
              <i n="[Sheet1].[Ad Spend].&amp;[4.403E1]" c="44.03"/>
              <i n="[Sheet1].[Ad Spend].&amp;[4.406E1]" c="44.06"/>
              <i n="[Sheet1].[Ad Spend].&amp;[4.429E1]" c="44.29"/>
              <i n="[Sheet1].[Ad Spend].&amp;[4.437E1]" c="44.37"/>
              <i n="[Sheet1].[Ad Spend].&amp;[4.439E1]" c="44.39"/>
              <i n="[Sheet1].[Ad Spend].&amp;[4.442E1]" c="44.42"/>
              <i n="[Sheet1].[Ad Spend].&amp;[4.445E1]" c="44.45"/>
              <i n="[Sheet1].[Ad Spend].&amp;[4.448E1]" c="44.48"/>
              <i n="[Sheet1].[Ad Spend].&amp;[4.454E1]" c="44.54"/>
              <i n="[Sheet1].[Ad Spend].&amp;[4.495E1]" c="44.95"/>
              <i n="[Sheet1].[Ad Spend].&amp;[4.496E1]" c="44.96"/>
              <i n="[Sheet1].[Ad Spend].&amp;[4.501E1]" c="45.01"/>
              <i n="[Sheet1].[Ad Spend].&amp;[4.505E1]" c="45.05"/>
              <i n="[Sheet1].[Ad Spend].&amp;[4.511E1]" c="45.11"/>
              <i n="[Sheet1].[Ad Spend].&amp;[4.54E1]" c="45.4"/>
              <i n="[Sheet1].[Ad Spend].&amp;[4.549E1]" c="45.49"/>
              <i n="[Sheet1].[Ad Spend].&amp;[4.553E1]" c="45.53"/>
              <i n="[Sheet1].[Ad Spend].&amp;[4.566E1]" c="45.66"/>
              <i n="[Sheet1].[Ad Spend].&amp;[4.576E1]" c="45.76"/>
              <i n="[Sheet1].[Ad Spend].&amp;[4.581E1]" c="45.81"/>
              <i n="[Sheet1].[Ad Spend].&amp;[4.598E1]" c="45.98"/>
              <i n="[Sheet1].[Ad Spend].&amp;[4.612E1]" c="46.12"/>
              <i n="[Sheet1].[Ad Spend].&amp;[4.615E1]" c="46.15"/>
              <i n="[Sheet1].[Ad Spend].&amp;[4.62E1]" c="46.2"/>
              <i n="[Sheet1].[Ad Spend].&amp;[4.621E1]" c="46.21"/>
              <i n="[Sheet1].[Ad Spend].&amp;[4.637E1]" c="46.37"/>
              <i n="[Sheet1].[Ad Spend].&amp;[4.681E1]" c="46.81"/>
              <i n="[Sheet1].[Ad Spend].&amp;[4.69E1]" c="46.9"/>
              <i n="[Sheet1].[Ad Spend].&amp;[4.709E1]" c="47.09"/>
              <i n="[Sheet1].[Ad Spend].&amp;[4.735E1]" c="47.35"/>
              <i n="[Sheet1].[Ad Spend].&amp;[4.736E1]" c="47.36"/>
              <i n="[Sheet1].[Ad Spend].&amp;[4.742E1]" c="47.42"/>
              <i n="[Sheet1].[Ad Spend].&amp;[4.745E1]" c="47.45"/>
              <i n="[Sheet1].[Ad Spend].&amp;[4.75E1]" c="47.5"/>
              <i n="[Sheet1].[Ad Spend].&amp;[4.754E1]" c="47.54"/>
              <i n="[Sheet1].[Ad Spend].&amp;[4.763E1]" c="47.63"/>
              <i n="[Sheet1].[Ad Spend].&amp;[4.769E1]" c="47.69"/>
              <i n="[Sheet1].[Ad Spend].&amp;[4.784E1]" c="47.84"/>
              <i n="[Sheet1].[Ad Spend].&amp;[4.807E1]" c="48.07"/>
              <i n="[Sheet1].[Ad Spend].&amp;[4.813E1]" c="48.13"/>
              <i n="[Sheet1].[Ad Spend].&amp;[4.832E1]" c="48.32"/>
              <i n="[Sheet1].[Ad Spend].&amp;[4.833E1]" c="48.33"/>
              <i n="[Sheet1].[Ad Spend].&amp;[4.839E1]" c="48.39"/>
              <i n="[Sheet1].[Ad Spend].&amp;[4.84E1]" c="48.4"/>
              <i n="[Sheet1].[Ad Spend].&amp;[4.843E1]" c="48.43"/>
              <i n="[Sheet1].[Ad Spend].&amp;[4.851E1]" c="48.51"/>
              <i n="[Sheet1].[Ad Spend].&amp;[4.859E1]" c="48.59"/>
              <i n="[Sheet1].[Ad Spend].&amp;[4.865E1]" c="48.65"/>
              <i n="[Sheet1].[Ad Spend].&amp;[4.869E1]" c="48.69"/>
              <i n="[Sheet1].[Ad Spend].&amp;[4.919E1]" c="49.19"/>
              <i n="[Sheet1].[Ad Spend].&amp;[4.925E1]" c="49.25"/>
              <i n="[Sheet1].[Ad Spend].&amp;[4.935E1]" c="49.35"/>
              <i n="[Sheet1].[Ad Spend].&amp;[4.955E1]" c="49.55"/>
              <i n="[Sheet1].[Ad Spend].&amp;[4.974E1]" c="49.74"/>
              <i n="[Sheet1].[Ad Spend].&amp;[4.981E1]" c="49.81"/>
              <i n="[Sheet1].[Ad Spend].&amp;[5.006E1]" c="50.06"/>
              <i n="[Sheet1].[Ad Spend].&amp;[5.019E1]" c="50.19"/>
              <i n="[Sheet1].[Ad Spend].&amp;[5.04E1]" c="50.4"/>
              <i n="[Sheet1].[Ad Spend].&amp;[5.06E1]" c="50.6"/>
              <i n="[Sheet1].[Ad Spend].&amp;[5.062E1]" c="50.62"/>
              <i n="[Sheet1].[Ad Spend].&amp;[5.065E1]" c="50.65"/>
              <i n="[Sheet1].[Ad Spend].&amp;[5.069E1]" c="50.69"/>
              <i n="[Sheet1].[Ad Spend].&amp;[5.079E1]" c="50.79"/>
              <i n="[Sheet1].[Ad Spend].&amp;[5.082E1]" c="50.82"/>
              <i n="[Sheet1].[Ad Spend].&amp;[5.09E1]" c="50.9"/>
              <i n="[Sheet1].[Ad Spend].&amp;[5.121E1]" c="51.21"/>
              <i n="[Sheet1].[Ad Spend].&amp;[5.132E1]" c="51.32"/>
              <i n="[Sheet1].[Ad Spend].&amp;[5.136E1]" c="51.36"/>
              <i n="[Sheet1].[Ad Spend].&amp;[5.137E1]" c="51.37"/>
              <i n="[Sheet1].[Ad Spend].&amp;[5.142E1]" c="51.42"/>
              <i n="[Sheet1].[Ad Spend].&amp;[5.146E1]" c="51.46"/>
              <i n="[Sheet1].[Ad Spend].&amp;[5.172E1]" c="51.72"/>
              <i n="[Sheet1].[Ad Spend].&amp;[5.199E1]" c="51.99"/>
              <i n="[Sheet1].[Ad Spend].&amp;[5.203E1]" c="52.03"/>
              <i n="[Sheet1].[Ad Spend].&amp;[5.222E1]" c="52.22"/>
              <i n="[Sheet1].[Ad Spend].&amp;[5.224E1]" c="52.24"/>
              <i n="[Sheet1].[Ad Spend].&amp;[5.232E1]" c="52.32"/>
              <i n="[Sheet1].[Ad Spend].&amp;[5.241E1]" c="52.41"/>
              <i n="[Sheet1].[Ad Spend].&amp;[5.242E1]" c="52.42"/>
              <i n="[Sheet1].[Ad Spend].&amp;[5.259E1]" c="52.59"/>
              <i n="[Sheet1].[Ad Spend].&amp;[5.276E1]" c="52.76"/>
              <i n="[Sheet1].[Ad Spend].&amp;[5.281E1]" c="52.81"/>
              <i n="[Sheet1].[Ad Spend].&amp;[5.306E1]" c="53.06"/>
              <i n="[Sheet1].[Ad Spend].&amp;[5.314E1]" c="53.14"/>
              <i n="[Sheet1].[Ad Spend].&amp;[5.363E1]" c="53.63"/>
              <i n="[Sheet1].[Ad Spend].&amp;[5.371E1]" c="53.71"/>
              <i n="[Sheet1].[Ad Spend].&amp;[5.384E1]" c="53.84"/>
              <i n="[Sheet1].[Ad Spend].&amp;[5.389E1]" c="53.89"/>
              <i n="[Sheet1].[Ad Spend].&amp;[5.39E1]" c="53.9"/>
              <i n="[Sheet1].[Ad Spend].&amp;[5.414E1]" c="54.14"/>
              <i n="[Sheet1].[Ad Spend].&amp;[5.421E1]" c="54.21"/>
              <i n="[Sheet1].[Ad Spend].&amp;[5.432E1]" c="54.32"/>
              <i n="[Sheet1].[Ad Spend].&amp;[5.435E1]" c="54.35"/>
              <i n="[Sheet1].[Ad Spend].&amp;[5.446E1]" c="54.46"/>
              <i n="[Sheet1].[Ad Spend].&amp;[5.455E1]" c="54.55"/>
              <i n="[Sheet1].[Ad Spend].&amp;[5.465E1]" c="54.65"/>
              <i n="[Sheet1].[Ad Spend].&amp;[5.466E1]" c="54.66"/>
              <i n="[Sheet1].[Ad Spend].&amp;[5.468E1]" c="54.68"/>
              <i n="[Sheet1].[Ad Spend].&amp;[5.47E1]" c="54.7"/>
              <i n="[Sheet1].[Ad Spend].&amp;[5.473E1]" c="54.73"/>
              <i n="[Sheet1].[Ad Spend].&amp;[5.48E1]" c="54.8"/>
              <i n="[Sheet1].[Ad Spend].&amp;[5.483E1]" c="54.83"/>
              <i n="[Sheet1].[Ad Spend].&amp;[5.484E1]" c="54.84"/>
              <i n="[Sheet1].[Ad Spend].&amp;[5.487E1]" c="54.87"/>
              <i n="[Sheet1].[Ad Spend].&amp;[5.492E1]" c="54.92"/>
              <i n="[Sheet1].[Ad Spend].&amp;[5.494E1]" c="54.94"/>
              <i n="[Sheet1].[Ad Spend].&amp;[5.501E1]" c="55.01"/>
              <i n="[Sheet1].[Ad Spend].&amp;[5.514E1]" c="55.14"/>
              <i n="[Sheet1].[Ad Spend].&amp;[5.524E1]" c="55.24"/>
              <i n="[Sheet1].[Ad Spend].&amp;[5.553E1]" c="55.53"/>
              <i n="[Sheet1].[Ad Spend].&amp;[5.572E1]" c="55.72"/>
              <i n="[Sheet1].[Ad Spend].&amp;[5.575E1]" c="55.75"/>
              <i n="[Sheet1].[Ad Spend].&amp;[5.578E1]" c="55.78"/>
              <i n="[Sheet1].[Ad Spend].&amp;[5.583E1]" c="55.83"/>
              <i n="[Sheet1].[Ad Spend].&amp;[5.588E1]" c="55.88"/>
              <i n="[Sheet1].[Ad Spend].&amp;[5.596E1]" c="55.96"/>
              <i n="[Sheet1].[Ad Spend].&amp;[5.602E1]" c="56.02"/>
              <i n="[Sheet1].[Ad Spend].&amp;[5.613E1]" c="56.13"/>
              <i n="[Sheet1].[Ad Spend].&amp;[5.619E1]" c="56.19"/>
              <i n="[Sheet1].[Ad Spend].&amp;[5.624E1]" c="56.24"/>
              <i n="[Sheet1].[Ad Spend].&amp;[5.625E1]" c="56.25"/>
              <i n="[Sheet1].[Ad Spend].&amp;[5.633E1]" c="56.33"/>
              <i n="[Sheet1].[Ad Spend].&amp;[5.66E1]" c="56.6"/>
              <i n="[Sheet1].[Ad Spend].&amp;[5.681E1]" c="56.81"/>
              <i n="[Sheet1].[Ad Spend].&amp;[5.69E1]" c="56.9"/>
              <i n="[Sheet1].[Ad Spend].&amp;[5.696E1]" c="56.96"/>
              <i n="[Sheet1].[Ad Spend].&amp;[5.703E1]" c="57.03"/>
              <i n="[Sheet1].[Ad Spend].&amp;[5.715E1]" c="57.15"/>
              <i n="[Sheet1].[Ad Spend].&amp;[5.716E1]" c="57.16"/>
              <i n="[Sheet1].[Ad Spend].&amp;[5.725E1]" c="57.25"/>
              <i n="[Sheet1].[Ad Spend].&amp;[5.727E1]" c="57.27"/>
              <i n="[Sheet1].[Ad Spend].&amp;[5.733E1]" c="57.33"/>
              <i n="[Sheet1].[Ad Spend].&amp;[5.736E1]" c="57.36"/>
              <i n="[Sheet1].[Ad Spend].&amp;[5.743E1]" c="57.43"/>
              <i n="[Sheet1].[Ad Spend].&amp;[5.749E1]" c="57.49"/>
              <i n="[Sheet1].[Ad Spend].&amp;[5.767E1]" c="57.67"/>
              <i n="[Sheet1].[Ad Spend].&amp;[5.776E1]" c="57.76"/>
              <i n="[Sheet1].[Ad Spend].&amp;[5.789E1]" c="57.89"/>
              <i n="[Sheet1].[Ad Spend].&amp;[5.795E1]" c="57.95"/>
              <i n="[Sheet1].[Ad Spend].&amp;[5.8E1]" c="58"/>
              <i n="[Sheet1].[Ad Spend].&amp;[5.809E1]" c="58.09"/>
              <i n="[Sheet1].[Ad Spend].&amp;[5.811E1]" c="58.11"/>
              <i n="[Sheet1].[Ad Spend].&amp;[5.817E1]" c="58.17"/>
              <i n="[Sheet1].[Ad Spend].&amp;[5.828E1]" c="58.28"/>
              <i n="[Sheet1].[Ad Spend].&amp;[5.843E1]" c="58.43"/>
              <i n="[Sheet1].[Ad Spend].&amp;[5.845E1]" c="58.45"/>
              <i n="[Sheet1].[Ad Spend].&amp;[5.851E1]" c="58.51"/>
              <i n="[Sheet1].[Ad Spend].&amp;[5.854E1]" c="58.54"/>
              <i n="[Sheet1].[Ad Spend].&amp;[5.881E1]" c="58.81"/>
              <i n="[Sheet1].[Ad Spend].&amp;[5.892E1]" c="58.92"/>
              <i n="[Sheet1].[Ad Spend].&amp;[5.9E1]" c="59"/>
              <i n="[Sheet1].[Ad Spend].&amp;[5.904E1]" c="59.04"/>
              <i n="[Sheet1].[Ad Spend].&amp;[5.921E1]" c="59.21"/>
              <i n="[Sheet1].[Ad Spend].&amp;[5.925E1]" c="59.25"/>
              <i n="[Sheet1].[Ad Spend].&amp;[5.929E1]" c="59.29"/>
              <i n="[Sheet1].[Ad Spend].&amp;[5.95E1]" c="59.5"/>
              <i n="[Sheet1].[Ad Spend].&amp;[5.956E1]" c="59.56"/>
              <i n="[Sheet1].[Ad Spend].&amp;[5.96E1]" c="59.6"/>
              <i n="[Sheet1].[Ad Spend].&amp;[5.982E1]" c="59.82"/>
              <i n="[Sheet1].[Ad Spend].&amp;[5.984E1]" c="59.84"/>
              <i n="[Sheet1].[Ad Spend].&amp;[6.E1]" c="60"/>
              <i n="[Sheet1].[Ad Spend].&amp;[6.003E1]" c="60.03"/>
              <i n="[Sheet1].[Ad Spend].&amp;[6.007E1]" c="60.07"/>
              <i n="[Sheet1].[Ad Spend].&amp;[6.009E1]" c="60.09"/>
              <i n="[Sheet1].[Ad Spend].&amp;[6.013E1]" c="60.13"/>
              <i n="[Sheet1].[Ad Spend].&amp;[6.016E1]" c="60.16"/>
              <i n="[Sheet1].[Ad Spend].&amp;[6.029E1]" c="60.29"/>
              <i n="[Sheet1].[Ad Spend].&amp;[6.03E1]" c="60.3"/>
              <i n="[Sheet1].[Ad Spend].&amp;[6.035E1]" c="60.35"/>
              <i n="[Sheet1].[Ad Spend].&amp;[6.04E1]" c="60.4"/>
              <i n="[Sheet1].[Ad Spend].&amp;[6.044E1]" c="60.44"/>
              <i n="[Sheet1].[Ad Spend].&amp;[6.049E1]" c="60.49"/>
              <i n="[Sheet1].[Ad Spend].&amp;[6.066E1]" c="60.66"/>
              <i n="[Sheet1].[Ad Spend].&amp;[6.087E1]" c="60.87"/>
              <i n="[Sheet1].[Ad Spend].&amp;[6.124E1]" c="61.24"/>
              <i n="[Sheet1].[Ad Spend].&amp;[6.145E1]" c="61.45"/>
              <i n="[Sheet1].[Ad Spend].&amp;[6.154E1]" c="61.54"/>
              <i n="[Sheet1].[Ad Spend].&amp;[6.155E1]" c="61.55"/>
              <i n="[Sheet1].[Ad Spend].&amp;[6.159E1]" c="61.59"/>
              <i n="[Sheet1].[Ad Spend].&amp;[6.187E1]" c="61.87"/>
              <i n="[Sheet1].[Ad Spend].&amp;[6.208E1]" c="62.08"/>
              <i n="[Sheet1].[Ad Spend].&amp;[6.245E1]" c="62.45"/>
              <i n="[Sheet1].[Ad Spend].&amp;[6.247E1]" c="62.47"/>
              <i n="[Sheet1].[Ad Spend].&amp;[6.249E1]" c="62.49"/>
              <i n="[Sheet1].[Ad Spend].&amp;[6.25E1]" c="62.5"/>
              <i n="[Sheet1].[Ad Spend].&amp;[6.258E1]" c="62.58"/>
              <i n="[Sheet1].[Ad Spend].&amp;[6.261E1]" c="62.61"/>
              <i n="[Sheet1].[Ad Spend].&amp;[6.276E1]" c="62.76"/>
              <i n="[Sheet1].[Ad Spend].&amp;[6.291E1]" c="62.91"/>
              <i n="[Sheet1].[Ad Spend].&amp;[6.303E1]" c="63.03"/>
              <i n="[Sheet1].[Ad Spend].&amp;[6.319E1]" c="63.19"/>
              <i n="[Sheet1].[Ad Spend].&amp;[6.327E1]" c="63.27"/>
              <i n="[Sheet1].[Ad Spend].&amp;[6.333E1]" c="63.33"/>
              <i n="[Sheet1].[Ad Spend].&amp;[6.34E1]" c="63.4"/>
              <i n="[Sheet1].[Ad Spend].&amp;[6.362E1]" c="63.62"/>
              <i n="[Sheet1].[Ad Spend].&amp;[6.365E1]" c="63.65"/>
              <i n="[Sheet1].[Ad Spend].&amp;[6.375E1]" c="63.75"/>
              <i n="[Sheet1].[Ad Spend].&amp;[6.378E1]" c="63.78"/>
              <i n="[Sheet1].[Ad Spend].&amp;[6.39E1]" c="63.9"/>
              <i n="[Sheet1].[Ad Spend].&amp;[6.422E1]" c="64.22"/>
              <i n="[Sheet1].[Ad Spend].&amp;[6.425E1]" c="64.25"/>
              <i n="[Sheet1].[Ad Spend].&amp;[6.457E1]" c="64.57"/>
              <i n="[Sheet1].[Ad Spend].&amp;[6.478E1]" c="64.78"/>
              <i n="[Sheet1].[Ad Spend].&amp;[6.483E1]" c="64.83"/>
              <i n="[Sheet1].[Ad Spend].&amp;[6.495E1]" c="64.95"/>
              <i n="[Sheet1].[Ad Spend].&amp;[6.496E1]" c="64.96"/>
              <i n="[Sheet1].[Ad Spend].&amp;[6.499E1]" c="64.99"/>
              <i n="[Sheet1].[Ad Spend].&amp;[6.506E1]" c="65.06"/>
              <i n="[Sheet1].[Ad Spend].&amp;[6.516E1]" c="65.16"/>
              <i n="[Sheet1].[Ad Spend].&amp;[6.522E1]" c="65.22"/>
              <i n="[Sheet1].[Ad Spend].&amp;[6.552E1]" c="65.52"/>
              <i n="[Sheet1].[Ad Spend].&amp;[6.555E1]" c="65.55"/>
              <i n="[Sheet1].[Ad Spend].&amp;[6.577E1]" c="65.77"/>
              <i n="[Sheet1].[Ad Spend].&amp;[6.603E1]" c="66.03"/>
              <i n="[Sheet1].[Ad Spend].&amp;[6.614E1]" c="66.14"/>
              <i n="[Sheet1].[Ad Spend].&amp;[6.625E1]" c="66.25"/>
              <i n="[Sheet1].[Ad Spend].&amp;[6.626E1]" c="66.26"/>
              <i n="[Sheet1].[Ad Spend].&amp;[6.65E1]" c="66.5"/>
              <i n="[Sheet1].[Ad Spend].&amp;[6.66E1]" c="66.6"/>
              <i n="[Sheet1].[Ad Spend].&amp;[6.701E1]" c="67.01"/>
              <i n="[Sheet1].[Ad Spend].&amp;[6.706E1]" c="67.06"/>
              <i n="[Sheet1].[Ad Spend].&amp;[6.709E1]" c="67.09"/>
              <i n="[Sheet1].[Ad Spend].&amp;[6.716E1]" c="67.16"/>
              <i n="[Sheet1].[Ad Spend].&amp;[6.758E1]" c="67.58"/>
              <i n="[Sheet1].[Ad Spend].&amp;[6.779E1]" c="67.79"/>
              <i n="[Sheet1].[Ad Spend].&amp;[6.788E1]" c="67.88"/>
              <i n="[Sheet1].[Ad Spend].&amp;[6.791E1]" c="67.91"/>
              <i n="[Sheet1].[Ad Spend].&amp;[6.805E1]" c="68.05"/>
              <i n="[Sheet1].[Ad Spend].&amp;[6.815E1]" c="68.15"/>
              <i n="[Sheet1].[Ad Spend].&amp;[6.826E1]" c="68.26"/>
              <i n="[Sheet1].[Ad Spend].&amp;[6.827E1]" c="68.27"/>
              <i n="[Sheet1].[Ad Spend].&amp;[6.836E1]" c="68.36"/>
              <i n="[Sheet1].[Ad Spend].&amp;[6.839E1]" c="68.39"/>
              <i n="[Sheet1].[Ad Spend].&amp;[6.843E1]" c="68.43"/>
              <i n="[Sheet1].[Ad Spend].&amp;[6.844E1]" c="68.44"/>
              <i n="[Sheet1].[Ad Spend].&amp;[6.865E1]" c="68.65"/>
              <i n="[Sheet1].[Ad Spend].&amp;[6.866E1]" c="68.66"/>
              <i n="[Sheet1].[Ad Spend].&amp;[6.869E1]" c="68.69"/>
              <i n="[Sheet1].[Ad Spend].&amp;[6.883E1]" c="68.83"/>
              <i n="[Sheet1].[Ad Spend].&amp;[6.896E1]" c="68.96"/>
              <i n="[Sheet1].[Ad Spend].&amp;[6.897E1]" c="68.97"/>
              <i n="[Sheet1].[Ad Spend].&amp;[6.905E1]" c="69.05"/>
              <i n="[Sheet1].[Ad Spend].&amp;[6.918E1]" c="69.18"/>
              <i n="[Sheet1].[Ad Spend].&amp;[6.919E1]" c="69.19"/>
              <i n="[Sheet1].[Ad Spend].&amp;[6.938E1]" c="69.38"/>
              <i n="[Sheet1].[Ad Spend].&amp;[6.976E1]" c="69.76"/>
              <i n="[Sheet1].[Ad Spend].&amp;[6.979E1]" c="69.79"/>
              <i n="[Sheet1].[Ad Spend].&amp;[6.999E1]" c="69.99"/>
              <i n="[Sheet1].[Ad Spend].&amp;[7.006E1]" c="70.06"/>
              <i n="[Sheet1].[Ad Spend].&amp;[7.026E1]" c="70.26"/>
              <i n="[Sheet1].[Ad Spend].&amp;[7.027E1]" c="70.27"/>
              <i n="[Sheet1].[Ad Spend].&amp;[7.036E1]" c="70.36"/>
              <i n="[Sheet1].[Ad Spend].&amp;[7.038E1]" c="70.38"/>
              <i n="[Sheet1].[Ad Spend].&amp;[7.056E1]" c="70.56"/>
              <i n="[Sheet1].[Ad Spend].&amp;[7.059E1]" c="70.59"/>
              <i n="[Sheet1].[Ad Spend].&amp;[7.075E1]" c="70.75"/>
              <i n="[Sheet1].[Ad Spend].&amp;[7.082E1]" c="70.82"/>
              <i n="[Sheet1].[Ad Spend].&amp;[7.085E1]" c="70.85"/>
              <i n="[Sheet1].[Ad Spend].&amp;[7.093E1]" c="70.93"/>
              <i n="[Sheet1].[Ad Spend].&amp;[7.094E1]" c="70.94"/>
              <i n="[Sheet1].[Ad Spend].&amp;[7.097E1]" c="70.97"/>
              <i n="[Sheet1].[Ad Spend].&amp;[7.103E1]" c="71.03"/>
              <i n="[Sheet1].[Ad Spend].&amp;[7.108E1]" c="71.08"/>
              <i n="[Sheet1].[Ad Spend].&amp;[7.112E1]" c="71.12"/>
              <i n="[Sheet1].[Ad Spend].&amp;[7.114E1]" c="71.14"/>
              <i n="[Sheet1].[Ad Spend].&amp;[7.116E1]" c="71.16"/>
              <i n="[Sheet1].[Ad Spend].&amp;[7.124E1]" c="71.24"/>
              <i n="[Sheet1].[Ad Spend].&amp;[7.128E1]" c="71.28"/>
              <i n="[Sheet1].[Ad Spend].&amp;[7.133E1]" c="71.33"/>
              <i n="[Sheet1].[Ad Spend].&amp;[7.163E1]" c="71.63"/>
              <i n="[Sheet1].[Ad Spend].&amp;[7.191E1]" c="71.91"/>
              <i n="[Sheet1].[Ad Spend].&amp;[7.216E1]" c="72.16"/>
              <i n="[Sheet1].[Ad Spend].&amp;[7.231E1]" c="72.31"/>
              <i n="[Sheet1].[Ad Spend].&amp;[7.247E1]" c="72.47"/>
              <i n="[Sheet1].[Ad Spend].&amp;[7.248E1]" c="72.48"/>
              <i n="[Sheet1].[Ad Spend].&amp;[7.295E1]" c="72.95"/>
              <i n="[Sheet1].[Ad Spend].&amp;[7.301E1]" c="73.01"/>
              <i n="[Sheet1].[Ad Spend].&amp;[7.32E1]" c="73.2"/>
              <i n="[Sheet1].[Ad Spend].&amp;[7.335E1]" c="73.35"/>
              <i n="[Sheet1].[Ad Spend].&amp;[7.346E1]" c="73.46"/>
              <i n="[Sheet1].[Ad Spend].&amp;[7.359E1]" c="73.59"/>
              <i n="[Sheet1].[Ad Spend].&amp;[7.377E1]" c="73.77"/>
              <i n="[Sheet1].[Ad Spend].&amp;[7.38E1]" c="73.8"/>
              <i n="[Sheet1].[Ad Spend].&amp;[7.421E1]" c="74.21"/>
              <i n="[Sheet1].[Ad Spend].&amp;[7.423E1]" c="74.23"/>
              <i n="[Sheet1].[Ad Spend].&amp;[7.429E1]" c="74.29"/>
              <i n="[Sheet1].[Ad Spend].&amp;[7.442E1]" c="74.42"/>
              <i n="[Sheet1].[Ad Spend].&amp;[7.444E1]" c="74.44"/>
              <i n="[Sheet1].[Ad Spend].&amp;[7.445E1]" c="74.45"/>
              <i n="[Sheet1].[Ad Spend].&amp;[7.451E1]" c="74.51"/>
              <i n="[Sheet1].[Ad Spend].&amp;[7.452E1]" c="74.52"/>
              <i n="[Sheet1].[Ad Spend].&amp;[7.492E1]" c="74.92"/>
              <i n="[Sheet1].[Ad Spend].&amp;[7.501E1]" c="75.01"/>
              <i n="[Sheet1].[Ad Spend].&amp;[7.52E1]" c="75.2"/>
              <i n="[Sheet1].[Ad Spend].&amp;[7.521E1]" c="75.21"/>
              <i n="[Sheet1].[Ad Spend].&amp;[7.556E1]" c="75.56"/>
              <i n="[Sheet1].[Ad Spend].&amp;[7.568E1]" c="75.68"/>
              <i n="[Sheet1].[Ad Spend].&amp;[7.585E1]" c="75.85"/>
              <i n="[Sheet1].[Ad Spend].&amp;[7.599E1]" c="75.99"/>
              <i n="[Sheet1].[Ad Spend].&amp;[7.602E1]" c="76.02"/>
              <i n="[Sheet1].[Ad Spend].&amp;[7.614E1]" c="76.14"/>
              <i n="[Sheet1].[Ad Spend].&amp;[7.62E1]" c="76.2"/>
              <i n="[Sheet1].[Ad Spend].&amp;[7.623E1]" c="76.23"/>
              <i n="[Sheet1].[Ad Spend].&amp;[7.625E1]" c="76.25"/>
              <i n="[Sheet1].[Ad Spend].&amp;[7.634E1]" c="76.34"/>
              <i n="[Sheet1].[Ad Spend].&amp;[7.643E1]" c="76.43"/>
              <i n="[Sheet1].[Ad Spend].&amp;[7.647E1]" c="76.47"/>
              <i n="[Sheet1].[Ad Spend].&amp;[7.651E1]" c="76.51"/>
              <i n="[Sheet1].[Ad Spend].&amp;[7.654E1]" c="76.54"/>
              <i n="[Sheet1].[Ad Spend].&amp;[7.663E1]" c="76.63"/>
              <i n="[Sheet1].[Ad Spend].&amp;[7.67E1]" c="76.7"/>
              <i n="[Sheet1].[Ad Spend].&amp;[7.712E1]" c="77.12"/>
              <i n="[Sheet1].[Ad Spend].&amp;[7.745E1]" c="77.45"/>
              <i n="[Sheet1].[Ad Spend].&amp;[7.746E1]" c="77.46"/>
              <i n="[Sheet1].[Ad Spend].&amp;[7.747E1]" c="77.47"/>
              <i n="[Sheet1].[Ad Spend].&amp;[7.751E1]" c="77.51"/>
              <i n="[Sheet1].[Ad Spend].&amp;[7.766E1]" c="77.66"/>
              <i n="[Sheet1].[Ad Spend].&amp;[7.78E1]" c="77.8"/>
              <i n="[Sheet1].[Ad Spend].&amp;[7.781E1]" c="77.81"/>
              <i n="[Sheet1].[Ad Spend].&amp;[7.797E1]" c="77.97"/>
              <i n="[Sheet1].[Ad Spend].&amp;[7.802E1]" c="78.02"/>
              <i n="[Sheet1].[Ad Spend].&amp;[7.819E1]" c="78.19"/>
              <i n="[Sheet1].[Ad Spend].&amp;[7.833E1]" c="78.33"/>
              <i n="[Sheet1].[Ad Spend].&amp;[7.865E1]" c="78.65"/>
              <i n="[Sheet1].[Ad Spend].&amp;[7.887E1]" c="78.87"/>
              <i n="[Sheet1].[Ad Spend].&amp;[7.898E1]" c="78.98"/>
              <i n="[Sheet1].[Ad Spend].&amp;[7.901E1]" c="79.01"/>
              <i n="[Sheet1].[Ad Spend].&amp;[7.902E1]" c="79.02"/>
              <i n="[Sheet1].[Ad Spend].&amp;[7.903E1]" c="79.03"/>
              <i n="[Sheet1].[Ad Spend].&amp;[7.913E1]" c="79.13"/>
              <i n="[Sheet1].[Ad Spend].&amp;[7.914E1]" c="79.14"/>
              <i n="[Sheet1].[Ad Spend].&amp;[7.927E1]" c="79.27"/>
              <i n="[Sheet1].[Ad Spend].&amp;[7.928E1]" c="79.28"/>
              <i n="[Sheet1].[Ad Spend].&amp;[7.929E1]" c="79.29"/>
              <i n="[Sheet1].[Ad Spend].&amp;[7.94E1]" c="79.4"/>
              <i n="[Sheet1].[Ad Spend].&amp;[7.948E1]" c="79.48"/>
              <i n="[Sheet1].[Ad Spend].&amp;[7.963E1]" c="79.63"/>
              <i n="[Sheet1].[Ad Spend].&amp;[7.967E1]" c="79.67"/>
              <i n="[Sheet1].[Ad Spend].&amp;[7.985E1]" c="79.85"/>
              <i n="[Sheet1].[Ad Spend].&amp;[8.E1]" c="80"/>
              <i n="[Sheet1].[Ad Spend].&amp;[8.003E1]" c="80.03"/>
              <i n="[Sheet1].[Ad Spend].&amp;[8.004E1]" c="80.04"/>
              <i n="[Sheet1].[Ad Spend].&amp;[8.005E1]" c="80.05"/>
              <i n="[Sheet1].[Ad Spend].&amp;[8.014E1]" c="80.14"/>
              <i n="[Sheet1].[Ad Spend].&amp;[8.02E1]" c="80.2"/>
              <i n="[Sheet1].[Ad Spend].&amp;[8.023E1]" c="80.23"/>
              <i n="[Sheet1].[Ad Spend].&amp;[8.035E1]" c="80.35"/>
              <i n="[Sheet1].[Ad Spend].&amp;[8.037E1]" c="80.37"/>
              <i n="[Sheet1].[Ad Spend].&amp;[8.045E1]" c="80.45"/>
              <i n="[Sheet1].[Ad Spend].&amp;[8.064E1]" c="80.64"/>
              <i n="[Sheet1].[Ad Spend].&amp;[8.065E1]" c="80.65"/>
              <i n="[Sheet1].[Ad Spend].&amp;[8.077E1]" c="80.77"/>
              <i n="[Sheet1].[Ad Spend].&amp;[8.084E1]" c="80.84"/>
              <i n="[Sheet1].[Ad Spend].&amp;[8.087E1]" c="80.87"/>
              <i n="[Sheet1].[Ad Spend].&amp;[8.125E1]" c="81.25"/>
              <i n="[Sheet1].[Ad Spend].&amp;[8.126E1]" c="81.26"/>
              <i n="[Sheet1].[Ad Spend].&amp;[8.14E1]" c="81.4"/>
              <i n="[Sheet1].[Ad Spend].&amp;[8.144E1]" c="81.44"/>
              <i n="[Sheet1].[Ad Spend].&amp;[8.163E1]" c="81.63"/>
              <i n="[Sheet1].[Ad Spend].&amp;[8.166E1]" c="81.66"/>
              <i n="[Sheet1].[Ad Spend].&amp;[8.168E1]" c="81.68"/>
              <i n="[Sheet1].[Ad Spend].&amp;[8.183E1]" c="81.83"/>
              <i n="[Sheet1].[Ad Spend].&amp;[8.188E1]" c="81.88"/>
              <i n="[Sheet1].[Ad Spend].&amp;[8.191E1]" c="81.91"/>
              <i n="[Sheet1].[Ad Spend].&amp;[8.195E1]" c="81.95"/>
              <i n="[Sheet1].[Ad Spend].&amp;[8.197E1]" c="81.97"/>
              <i n="[Sheet1].[Ad Spend].&amp;[8.206E1]" c="82.06"/>
              <i n="[Sheet1].[Ad Spend].&amp;[8.216E1]" c="82.16"/>
              <i n="[Sheet1].[Ad Spend].&amp;[8.217E1]" c="82.17"/>
              <i n="[Sheet1].[Ad Spend].&amp;[8.218E1]" c="82.18"/>
              <i n="[Sheet1].[Ad Spend].&amp;[8.241E1]" c="82.41"/>
              <i n="[Sheet1].[Ad Spend].&amp;[8.248E1]" c="82.48"/>
              <i n="[Sheet1].[Ad Spend].&amp;[8.287E1]" c="82.87"/>
              <i n="[Sheet1].[Ad Spend].&amp;[8.335E1]" c="83.35"/>
              <i n="[Sheet1].[Ad Spend].&amp;[8.34E1]" c="83.4"/>
              <i n="[Sheet1].[Ad Spend].&amp;[8.343E1]" c="83.43"/>
              <i n="[Sheet1].[Ad Spend].&amp;[8.378E1]" c="83.78"/>
              <i n="[Sheet1].[Ad Spend].&amp;[8.39E1]" c="83.9"/>
              <i n="[Sheet1].[Ad Spend].&amp;[8.392E1]" c="83.92"/>
              <i n="[Sheet1].[Ad Spend].&amp;[8.402E1]" c="84.02"/>
              <i n="[Sheet1].[Ad Spend].&amp;[8.404E1]" c="84.04"/>
              <i n="[Sheet1].[Ad Spend].&amp;[8.41E1]" c="84.1"/>
              <i n="[Sheet1].[Ad Spend].&amp;[8.412E1]" c="84.12"/>
              <i n="[Sheet1].[Ad Spend].&amp;[8.418E1]" c="84.18"/>
              <i n="[Sheet1].[Ad Spend].&amp;[8.42E1]" c="84.2"/>
              <i n="[Sheet1].[Ad Spend].&amp;[8.422E1]" c="84.22"/>
              <i n="[Sheet1].[Ad Spend].&amp;[8.43E1]" c="84.3"/>
              <i n="[Sheet1].[Ad Spend].&amp;[8.433E1]" c="84.33"/>
              <i n="[Sheet1].[Ad Spend].&amp;[8.437E1]" c="84.37"/>
              <i n="[Sheet1].[Ad Spend].&amp;[8.441E1]" c="84.41"/>
              <i n="[Sheet1].[Ad Spend].&amp;[8.451E1]" c="84.51"/>
              <i n="[Sheet1].[Ad Spend].&amp;[8.453E1]" c="84.53"/>
              <i n="[Sheet1].[Ad Spend].&amp;[8.461E1]" c="84.61"/>
              <i n="[Sheet1].[Ad Spend].&amp;[8.467E1]" c="84.67"/>
              <i n="[Sheet1].[Ad Spend].&amp;[8.476E1]" c="84.76"/>
              <i n="[Sheet1].[Ad Spend].&amp;[8.486E1]" c="84.86"/>
              <i n="[Sheet1].[Ad Spend].&amp;[8.49E1]" c="84.9"/>
              <i n="[Sheet1].[Ad Spend].&amp;[8.496E1]" c="84.96"/>
              <i n="[Sheet1].[Ad Spend].&amp;[8.497E1]" c="84.97"/>
              <i n="[Sheet1].[Ad Spend].&amp;[8.502E1]" c="85.02"/>
              <i n="[Sheet1].[Ad Spend].&amp;[8.505E1]" c="85.05"/>
              <i n="[Sheet1].[Ad Spend].&amp;[8.51E1]" c="85.1"/>
              <i n="[Sheet1].[Ad Spend].&amp;[8.531E1]" c="85.31"/>
              <i n="[Sheet1].[Ad Spend].&amp;[8.558E1]" c="85.58"/>
              <i n="[Sheet1].[Ad Spend].&amp;[8.565E1]" c="85.65"/>
              <i n="[Sheet1].[Ad Spend].&amp;[8.57E1]" c="85.7"/>
              <i n="[Sheet1].[Ad Spend].&amp;[8.577E1]" c="85.77"/>
              <i n="[Sheet1].[Ad Spend].&amp;[8.58E1]" c="85.8"/>
              <i n="[Sheet1].[Ad Spend].&amp;[8.587E1]" c="85.87"/>
              <i n="[Sheet1].[Ad Spend].&amp;[8.601E1]" c="86.01"/>
              <i n="[Sheet1].[Ad Spend].&amp;[8.606E1]" c="86.06"/>
              <i n="[Sheet1].[Ad Spend].&amp;[8.618E1]" c="86.18"/>
              <i n="[Sheet1].[Ad Spend].&amp;[8.636E1]" c="86.36"/>
              <i n="[Sheet1].[Ad Spend].&amp;[8.65E1]" c="86.5"/>
              <i n="[Sheet1].[Ad Spend].&amp;[8.651E1]" c="86.51"/>
              <i n="[Sheet1].[Ad Spend].&amp;[8.667E1]" c="86.67"/>
              <i n="[Sheet1].[Ad Spend].&amp;[8.672E1]" c="86.72"/>
              <i n="[Sheet1].[Ad Spend].&amp;[8.684E1]" c="86.84"/>
              <i n="[Sheet1].[Ad Spend].&amp;[8.686E1]" c="86.86"/>
              <i n="[Sheet1].[Ad Spend].&amp;[8.716E1]" c="87.16"/>
              <i n="[Sheet1].[Ad Spend].&amp;[8.733E1]" c="87.33"/>
              <i n="[Sheet1].[Ad Spend].&amp;[8.745E1]" c="87.45"/>
              <i n="[Sheet1].[Ad Spend].&amp;[8.756E1]" c="87.56"/>
              <i n="[Sheet1].[Ad Spend].&amp;[8.776E1]" c="87.76"/>
              <i n="[Sheet1].[Ad Spend].&amp;[8.779E1]" c="87.79"/>
              <i n="[Sheet1].[Ad Spend].&amp;[8.786E1]" c="87.86"/>
              <i n="[Sheet1].[Ad Spend].&amp;[8.788E1]" c="87.88"/>
              <i n="[Sheet1].[Ad Spend].&amp;[8.793E1]" c="87.93"/>
              <i n="[Sheet1].[Ad Spend].&amp;[8.801E1]" c="88.01"/>
              <i n="[Sheet1].[Ad Spend].&amp;[8.814E1]" c="88.14"/>
              <i n="[Sheet1].[Ad Spend].&amp;[8.844E1]" c="88.44"/>
              <i n="[Sheet1].[Ad Spend].&amp;[8.847E1]" c="88.47"/>
              <i n="[Sheet1].[Ad Spend].&amp;[8.86E1]" c="88.6"/>
              <i n="[Sheet1].[Ad Spend].&amp;[8.869E1]" c="88.69"/>
              <i n="[Sheet1].[Ad Spend].&amp;[8.882E1]" c="88.82"/>
              <i n="[Sheet1].[Ad Spend].&amp;[8.907E1]" c="89.07"/>
              <i n="[Sheet1].[Ad Spend].&amp;[8.914E1]" c="89.14"/>
              <i n="[Sheet1].[Ad Spend].&amp;[8.918E1]" c="89.18"/>
              <i n="[Sheet1].[Ad Spend].&amp;[8.927E1]" c="89.27"/>
              <i n="[Sheet1].[Ad Spend].&amp;[8.954E1]" c="89.54"/>
              <i n="[Sheet1].[Ad Spend].&amp;[8.955E1]" c="89.55"/>
              <i n="[Sheet1].[Ad Spend].&amp;[8.961E1]" c="89.61"/>
              <i n="[Sheet1].[Ad Spend].&amp;[8.979E1]" c="89.79"/>
              <i n="[Sheet1].[Ad Spend].&amp;[8.982E1]" c="89.82"/>
              <i n="[Sheet1].[Ad Spend].&amp;[8.986E1]" c="89.86"/>
              <i n="[Sheet1].[Ad Spend].&amp;[8.994E1]" c="89.94"/>
              <i n="[Sheet1].[Ad Spend].&amp;[8.996E1]" c="89.96"/>
              <i n="[Sheet1].[Ad Spend].&amp;[9.017E1]" c="90.17"/>
              <i n="[Sheet1].[Ad Spend].&amp;[9.019E1]" c="90.19"/>
              <i n="[Sheet1].[Ad Spend].&amp;[9.02E1]" c="90.2"/>
              <i n="[Sheet1].[Ad Spend].&amp;[9.026E1]" c="90.26"/>
              <i n="[Sheet1].[Ad Spend].&amp;[9.03E1]" c="90.3"/>
              <i n="[Sheet1].[Ad Spend].&amp;[9.054E1]" c="90.54"/>
              <i n="[Sheet1].[Ad Spend].&amp;[9.057E1]" c="90.57"/>
              <i n="[Sheet1].[Ad Spend].&amp;[9.069E1]" c="90.69"/>
              <i n="[Sheet1].[Ad Spend].&amp;[9.074E1]" c="90.74"/>
              <i n="[Sheet1].[Ad Spend].&amp;[9.082E1]" c="90.82"/>
              <i n="[Sheet1].[Ad Spend].&amp;[9.094E1]" c="90.94"/>
              <i n="[Sheet1].[Ad Spend].&amp;[9.107E1]" c="91.07"/>
              <i n="[Sheet1].[Ad Spend].&amp;[9.117E1]" c="91.17"/>
              <i n="[Sheet1].[Ad Spend].&amp;[9.125E1]" c="91.25"/>
              <i n="[Sheet1].[Ad Spend].&amp;[9.126E1]" c="91.26"/>
              <i n="[Sheet1].[Ad Spend].&amp;[9.143E1]" c="91.43"/>
              <i n="[Sheet1].[Ad Spend].&amp;[9.147E1]" c="91.47"/>
              <i n="[Sheet1].[Ad Spend].&amp;[9.159E1]" c="91.59"/>
              <i n="[Sheet1].[Ad Spend].&amp;[9.163E1]" c="91.63"/>
              <i n="[Sheet1].[Ad Spend].&amp;[9.17E1]" c="91.7"/>
              <i n="[Sheet1].[Ad Spend].&amp;[9.187E1]" c="91.87"/>
              <i n="[Sheet1].[Ad Spend].&amp;[9.19E1]" c="91.9"/>
              <i n="[Sheet1].[Ad Spend].&amp;[9.207E1]" c="92.07"/>
              <i n="[Sheet1].[Ad Spend].&amp;[9.222E1]" c="92.22"/>
              <i n="[Sheet1].[Ad Spend].&amp;[9.226E1]" c="92.26"/>
              <i n="[Sheet1].[Ad Spend].&amp;[9.239E1]" c="92.39"/>
              <i n="[Sheet1].[Ad Spend].&amp;[9.257E1]" c="92.57"/>
              <i n="[Sheet1].[Ad Spend].&amp;[9.259E1]" c="92.59"/>
              <i n="[Sheet1].[Ad Spend].&amp;[9.274E1]" c="92.74"/>
              <i n="[Sheet1].[Ad Spend].&amp;[9.299E1]" c="92.99"/>
              <i n="[Sheet1].[Ad Spend].&amp;[9.306E1]" c="93.06"/>
              <i n="[Sheet1].[Ad Spend].&amp;[9.31E1]" c="93.1"/>
              <i n="[Sheet1].[Ad Spend].&amp;[9.33E1]" c="93.3"/>
              <i n="[Sheet1].[Ad Spend].&amp;[9.332E1]" c="93.32"/>
              <i n="[Sheet1].[Ad Spend].&amp;[9.359E1]" c="93.59"/>
              <i n="[Sheet1].[Ad Spend].&amp;[9.388E1]" c="93.88"/>
              <i n="[Sheet1].[Ad Spend].&amp;[9.404E1]" c="94.04"/>
              <i n="[Sheet1].[Ad Spend].&amp;[9.415E1]" c="94.15"/>
              <i n="[Sheet1].[Ad Spend].&amp;[9.453E1]" c="94.53"/>
              <i n="[Sheet1].[Ad Spend].&amp;[9.463E1]" c="94.63"/>
              <i n="[Sheet1].[Ad Spend].&amp;[9.466E1]" c="94.66"/>
              <i n="[Sheet1].[Ad Spend].&amp;[9.515E1]" c="95.15"/>
              <i n="[Sheet1].[Ad Spend].&amp;[9.521E1]" c="95.21"/>
              <i n="[Sheet1].[Ad Spend].&amp;[9.528E1]" c="95.28"/>
              <i n="[Sheet1].[Ad Spend].&amp;[9.552E1]" c="95.52"/>
              <i n="[Sheet1].[Ad Spend].&amp;[9.568E1]" c="95.68"/>
              <i n="[Sheet1].[Ad Spend].&amp;[9.583E1]" c="95.83"/>
              <i n="[Sheet1].[Ad Spend].&amp;[9.59E1]" c="95.9"/>
              <i n="[Sheet1].[Ad Spend].&amp;[9.599E1]" c="95.99"/>
              <i n="[Sheet1].[Ad Spend].&amp;[9.625E1]" c="96.25"/>
              <i n="[Sheet1].[Ad Spend].&amp;[9.628E1]" c="96.28"/>
              <i n="[Sheet1].[Ad Spend].&amp;[9.629E1]" c="96.29"/>
              <i n="[Sheet1].[Ad Spend].&amp;[9.655E1]" c="96.55"/>
              <i n="[Sheet1].[Ad Spend].&amp;[9.658E1]" c="96.58"/>
              <i n="[Sheet1].[Ad Spend].&amp;[9.659E1]" c="96.59"/>
              <i n="[Sheet1].[Ad Spend].&amp;[9.662E1]" c="96.62"/>
              <i n="[Sheet1].[Ad Spend].&amp;[9.664E1]" c="96.64"/>
              <i n="[Sheet1].[Ad Spend].&amp;[9.679E1]" c="96.79"/>
              <i n="[Sheet1].[Ad Spend].&amp;[9.691E1]" c="96.91"/>
              <i n="[Sheet1].[Ad Spend].&amp;[9.695E1]" c="96.95"/>
              <i n="[Sheet1].[Ad Spend].&amp;[9.696E1]" c="96.96"/>
              <i n="[Sheet1].[Ad Spend].&amp;[9.704E1]" c="97.04"/>
              <i n="[Sheet1].[Ad Spend].&amp;[9.713E1]" c="97.13"/>
              <i n="[Sheet1].[Ad Spend].&amp;[9.73E1]" c="97.3"/>
              <i n="[Sheet1].[Ad Spend].&amp;[9.74E1]" c="97.4"/>
              <i n="[Sheet1].[Ad Spend].&amp;[9.744E1]" c="97.44"/>
              <i n="[Sheet1].[Ad Spend].&amp;[9.745E1]" c="97.45"/>
              <i n="[Sheet1].[Ad Spend].&amp;[9.749E1]" c="97.49"/>
              <i n="[Sheet1].[Ad Spend].&amp;[9.766E1]" c="97.66"/>
              <i n="[Sheet1].[Ad Spend].&amp;[9.767E1]" c="97.67"/>
              <i n="[Sheet1].[Ad Spend].&amp;[9.776E1]" c="97.76"/>
              <i n="[Sheet1].[Ad Spend].&amp;[9.78E1]" c="97.8"/>
              <i n="[Sheet1].[Ad Spend].&amp;[9.802E1]" c="98.02"/>
              <i n="[Sheet1].[Ad Spend].&amp;[9.803E1]" c="98.03"/>
              <i n="[Sheet1].[Ad Spend].&amp;[9.811E1]" c="98.11"/>
              <i n="[Sheet1].[Ad Spend].&amp;[9.816E1]" c="98.16"/>
              <i n="[Sheet1].[Ad Spend].&amp;[9.818E1]" c="98.18"/>
              <i n="[Sheet1].[Ad Spend].&amp;[9.832E1]" c="98.32"/>
              <i n="[Sheet1].[Ad Spend].&amp;[9.837E1]" c="98.37"/>
              <i n="[Sheet1].[Ad Spend].&amp;[9.842E1]" c="98.42"/>
              <i n="[Sheet1].[Ad Spend].&amp;[9.855E1]" c="98.55"/>
              <i n="[Sheet1].[Ad Spend].&amp;[9.857E1]" c="98.57"/>
              <i n="[Sheet1].[Ad Spend].&amp;[9.861E1]" c="98.61"/>
              <i n="[Sheet1].[Ad Spend].&amp;[9.862E1]" c="98.62"/>
              <i n="[Sheet1].[Ad Spend].&amp;[9.869E1]" c="98.69"/>
              <i n="[Sheet1].[Ad Spend].&amp;[9.873E1]" c="98.73"/>
              <i n="[Sheet1].[Ad Spend].&amp;[9.875E1]" c="98.75"/>
              <i n="[Sheet1].[Ad Spend].&amp;[9.885E1]" c="98.85"/>
              <i n="[Sheet1].[Ad Spend].&amp;[9.891E1]" c="98.91"/>
              <i n="[Sheet1].[Ad Spend].&amp;[9.892E1]" c="98.92"/>
              <i n="[Sheet1].[Ad Spend].&amp;[9.906E1]" c="99.06"/>
              <i n="[Sheet1].[Ad Spend].&amp;[9.922E1]" c="99.22"/>
              <i n="[Sheet1].[Ad Spend].&amp;[9.942E1]" c="99.42"/>
              <i n="[Sheet1].[Ad Spend].&amp;[9.948E1]" c="99.48"/>
              <i n="[Sheet1].[Ad Spend].&amp;[9.98E1]" c="99.8"/>
              <i n="[Sheet1].[Ad Spend].&amp;[9.99E1]" c="99.9"/>
              <i n="[Sheet1].[Ad Spend].&amp;[9.994E1]" c="99.94"/>
              <i n="[Sheet1].[Ad Spend].&amp;[1.0023E2]" c="100.23"/>
              <i n="[Sheet1].[Ad Spend].&amp;[1.0027E2]" c="100.27"/>
              <i n="[Sheet1].[Ad Spend].&amp;[1.0033E2]" c="100.33"/>
              <i n="[Sheet1].[Ad Spend].&amp;[1.0041E2]" c="100.41"/>
              <i n="[Sheet1].[Ad Spend].&amp;[1.005E2]" c="100.5"/>
              <i n="[Sheet1].[Ad Spend].&amp;[1.0051E2]" c="100.51"/>
              <i n="[Sheet1].[Ad Spend].&amp;[1.0055E2]" c="100.55"/>
              <i n="[Sheet1].[Ad Spend].&amp;[1.0062E2]" c="100.62"/>
              <i n="[Sheet1].[Ad Spend].&amp;[1.0076E2]" c="100.76"/>
              <i n="[Sheet1].[Ad Spend].&amp;[1.008E2]" c="100.8"/>
              <i n="[Sheet1].[Ad Spend].&amp;[1.0091E2]" c="100.91"/>
              <i n="[Sheet1].[Ad Spend].&amp;[1.0098E2]" c="100.98"/>
              <i n="[Sheet1].[Ad Spend].&amp;[1.0103E2]" c="101.03"/>
              <i n="[Sheet1].[Ad Spend].&amp;[1.0115E2]" c="101.15"/>
              <i n="[Sheet1].[Ad Spend].&amp;[1.0131E2]" c="101.31"/>
              <i n="[Sheet1].[Ad Spend].&amp;[1.0135E2]" c="101.35"/>
              <i n="[Sheet1].[Ad Spend].&amp;[1.0136E2]" c="101.36"/>
              <i n="[Sheet1].[Ad Spend].&amp;[1.0148E2]" c="101.48"/>
              <i n="[Sheet1].[Ad Spend].&amp;[1.0155E2]" c="101.55"/>
              <i n="[Sheet1].[Ad Spend].&amp;[1.016E2]" c="101.6"/>
              <i n="[Sheet1].[Ad Spend].&amp;[1.0173E2]" c="101.73"/>
              <i n="[Sheet1].[Ad Spend].&amp;[1.0188E2]" c="101.88"/>
              <i n="[Sheet1].[Ad Spend].&amp;[1.0196E2]" c="101.96"/>
              <i n="[Sheet1].[Ad Spend].&amp;[1.0212E2]" c="102.12"/>
              <i n="[Sheet1].[Ad Spend].&amp;[1.0223E2]" c="102.23"/>
              <i n="[Sheet1].[Ad Spend].&amp;[1.0237E2]" c="102.37"/>
              <i n="[Sheet1].[Ad Spend].&amp;[1.0242E2]" c="102.42"/>
              <i n="[Sheet1].[Ad Spend].&amp;[1.0252E2]" c="102.52"/>
              <i n="[Sheet1].[Ad Spend].&amp;[1.0264E2]" c="102.64"/>
              <i n="[Sheet1].[Ad Spend].&amp;[1.0275E2]" c="102.75"/>
              <i n="[Sheet1].[Ad Spend].&amp;[1.0282E2]" c="102.82"/>
              <i n="[Sheet1].[Ad Spend].&amp;[1.0289E2]" c="102.89"/>
              <i n="[Sheet1].[Ad Spend].&amp;[1.0297E2]" c="102.97"/>
              <i n="[Sheet1].[Ad Spend].&amp;[1.0298E2]" c="102.98"/>
              <i n="[Sheet1].[Ad Spend].&amp;[1.0308E2]" c="103.08"/>
              <i n="[Sheet1].[Ad Spend].&amp;[1.034E2]" c="103.4"/>
              <i n="[Sheet1].[Ad Spend].&amp;[1.0351E2]" c="103.51"/>
              <i n="[Sheet1].[Ad Spend].&amp;[1.0367E2]" c="103.67"/>
              <i n="[Sheet1].[Ad Spend].&amp;[1.0374E2]" c="103.74"/>
              <i n="[Sheet1].[Ad Spend].&amp;[1.04E2]" c="104"/>
              <i n="[Sheet1].[Ad Spend].&amp;[1.041E2]" c="104.1"/>
              <i n="[Sheet1].[Ad Spend].&amp;[1.0428E2]" c="104.28"/>
              <i n="[Sheet1].[Ad Spend].&amp;[1.0431E2]" c="104.31"/>
              <i n="[Sheet1].[Ad Spend].&amp;[1.0464E2]" c="104.64"/>
              <i n="[Sheet1].[Ad Spend].&amp;[1.0469E2]" c="104.69"/>
              <i n="[Sheet1].[Ad Spend].&amp;[1.0474E2]" c="104.74"/>
              <i n="[Sheet1].[Ad Spend].&amp;[1.0484E2]" c="104.84"/>
              <i n="[Sheet1].[Ad Spend].&amp;[1.0487E2]" c="104.87"/>
              <i n="[Sheet1].[Ad Spend].&amp;[1.0514E2]" c="105.14"/>
              <i n="[Sheet1].[Ad Spend].&amp;[1.0529E2]" c="105.29"/>
              <i n="[Sheet1].[Ad Spend].&amp;[1.0539E2]" c="105.39"/>
              <i n="[Sheet1].[Ad Spend].&amp;[1.054E2]" c="105.4"/>
              <i n="[Sheet1].[Ad Spend].&amp;[1.0543E2]" c="105.43"/>
              <i n="[Sheet1].[Ad Spend].&amp;[1.0549E2]" c="105.49"/>
              <i n="[Sheet1].[Ad Spend].&amp;[1.0561E2]" c="105.61"/>
              <i n="[Sheet1].[Ad Spend].&amp;[1.0573E2]" c="105.73"/>
              <i n="[Sheet1].[Ad Spend].&amp;[1.058E2]" c="105.8"/>
              <i n="[Sheet1].[Ad Spend].&amp;[1.0581E2]" c="105.81"/>
              <i n="[Sheet1].[Ad Spend].&amp;[1.0588E2]" c="105.88"/>
              <i n="[Sheet1].[Ad Spend].&amp;[1.0599E2]" c="105.99"/>
              <i n="[Sheet1].[Ad Spend].&amp;[1.0619E2]" c="106.19"/>
              <i n="[Sheet1].[Ad Spend].&amp;[1.0632E2]" c="106.32"/>
              <i n="[Sheet1].[Ad Spend].&amp;[1.0634E2]" c="106.34"/>
              <i n="[Sheet1].[Ad Spend].&amp;[1.064E2]" c="106.4"/>
              <i n="[Sheet1].[Ad Spend].&amp;[1.0641E2]" c="106.41"/>
              <i n="[Sheet1].[Ad Spend].&amp;[1.0658E2]" c="106.58"/>
              <i n="[Sheet1].[Ad Spend].&amp;[1.0677E2]" c="106.77"/>
              <i n="[Sheet1].[Ad Spend].&amp;[1.0678E2]" c="106.78"/>
              <i n="[Sheet1].[Ad Spend].&amp;[1.0689E2]" c="106.89"/>
              <i n="[Sheet1].[Ad Spend].&amp;[1.0696E2]" c="106.96"/>
              <i n="[Sheet1].[Ad Spend].&amp;[1.0704E2]" c="107.04"/>
              <i n="[Sheet1].[Ad Spend].&amp;[1.0723E2]" c="107.23"/>
              <i n="[Sheet1].[Ad Spend].&amp;[1.0725E2]" c="107.25"/>
              <i n="[Sheet1].[Ad Spend].&amp;[1.074E2]" c="107.4"/>
              <i n="[Sheet1].[Ad Spend].&amp;[1.0746E2]" c="107.46"/>
              <i n="[Sheet1].[Ad Spend].&amp;[1.0747E2]" c="107.47"/>
              <i n="[Sheet1].[Ad Spend].&amp;[1.0815E2]" c="108.15"/>
              <i n="[Sheet1].[Ad Spend].&amp;[1.083E2]" c="108.3"/>
              <i n="[Sheet1].[Ad Spend].&amp;[1.0837E2]" c="108.37"/>
              <i n="[Sheet1].[Ad Spend].&amp;[1.0847E2]" c="108.47"/>
              <i n="[Sheet1].[Ad Spend].&amp;[1.0854E2]" c="108.54"/>
              <i n="[Sheet1].[Ad Spend].&amp;[1.0866E2]" c="108.66"/>
              <i n="[Sheet1].[Ad Spend].&amp;[1.0868E2]" c="108.68"/>
              <i n="[Sheet1].[Ad Spend].&amp;[1.0873E2]" c="108.73"/>
              <i n="[Sheet1].[Ad Spend].&amp;[1.0878E2]" c="108.78"/>
              <i n="[Sheet1].[Ad Spend].&amp;[1.0881E2]" c="108.81"/>
              <i n="[Sheet1].[Ad Spend].&amp;[1.0886E2]" c="108.86"/>
              <i n="[Sheet1].[Ad Spend].&amp;[1.0893E2]" c="108.93"/>
              <i n="[Sheet1].[Ad Spend].&amp;[1.0898E2]" c="108.98"/>
              <i n="[Sheet1].[Ad Spend].&amp;[1.0901E2]" c="109.01"/>
              <i n="[Sheet1].[Ad Spend].&amp;[1.092E2]" c="109.2"/>
              <i n="[Sheet1].[Ad Spend].&amp;[1.0941E2]" c="109.41"/>
              <i n="[Sheet1].[Ad Spend].&amp;[1.0942E2]" c="109.42"/>
              <i n="[Sheet1].[Ad Spend].&amp;[1.0944E2]" c="109.44"/>
              <i n="[Sheet1].[Ad Spend].&amp;[1.0945E2]" c="109.45"/>
              <i n="[Sheet1].[Ad Spend].&amp;[1.0946E2]" c="109.46"/>
            </range>
          </ranges>
        </level>
      </levels>
      <selections count="1">
        <selection n="[Sheet1].[Ad Spend].[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fit" xr10:uid="{F0197081-235A-4933-9821-8BD464D75D38}" cache="Slicer_Profit" caption="Profit" level="1" rowHeight="234950"/>
  <slicer name="Category" xr10:uid="{ECF3675D-FCEC-4CEE-9ED4-8B838AF99231}" cache="Slicer_Category" caption="Category" level="1" rowHeight="234950"/>
  <slicer name="Season" xr10:uid="{D59E610F-BA2B-471B-8817-82AADC55902F}" cache="Slicer_Season" caption="Season" level="1" rowHeight="234950"/>
  <slicer name="Ad Spend" xr10:uid="{CA7D2A36-8382-4F0A-A436-010A8BE625FF}" cache="Slicer_Ad_Spend" caption="Ad Spend"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027CE6E-C7AE-4B9A-9549-2F2408B59384}" name="Sheet1" displayName="Sheet1" ref="A1:K2001" tableType="queryTable" totalsRowShown="0">
  <autoFilter ref="A1:K2001" xr:uid="{4027CE6E-C7AE-4B9A-9549-2F2408B59384}"/>
  <tableColumns count="11">
    <tableColumn id="1" xr3:uid="{63B9E668-AAD0-4055-91CF-8DE09C38531A}" uniqueName="1" name="Date" queryTableFieldId="1" dataDxfId="5"/>
    <tableColumn id="2" xr3:uid="{7ED79D03-9409-47A7-83AA-BB9D9C31B320}" uniqueName="2" name="Season" queryTableFieldId="2" dataDxfId="4"/>
    <tableColumn id="3" xr3:uid="{1A25A8CF-823C-47E2-8301-CACBE4D2F168}" uniqueName="3" name="Time of Day" queryTableFieldId="3" dataDxfId="3"/>
    <tableColumn id="4" xr3:uid="{B8394D10-B827-4E1D-91D2-C6BDF67175B8}" uniqueName="4" name="Channel" queryTableFieldId="4" dataDxfId="2"/>
    <tableColumn id="5" xr3:uid="{3415C7D0-FBA2-43D8-A457-6610492B66C8}" uniqueName="5" name="Customer Type" queryTableFieldId="5" dataDxfId="1"/>
    <tableColumn id="6" xr3:uid="{988960B6-226F-47AF-94E5-29CE81437551}" uniqueName="6" name="Category" queryTableFieldId="6" dataDxfId="0"/>
    <tableColumn id="7" xr3:uid="{EB62E755-1428-4D4E-AE21-D83FFA0B3946}" uniqueName="7" name="Ad Spend" queryTableFieldId="7"/>
    <tableColumn id="8" xr3:uid="{5FB1D59D-8DA0-4321-9FB3-3BCE6985958E}" uniqueName="8" name="Conversions" queryTableFieldId="8"/>
    <tableColumn id="9" xr3:uid="{C61C733A-983A-4FE6-B6CE-0810AC52731F}" uniqueName="9" name="Revenue" queryTableFieldId="9"/>
    <tableColumn id="10" xr3:uid="{3315D8EE-D46A-4008-B79B-3B726634C568}" uniqueName="10" name="Returns" queryTableFieldId="10"/>
    <tableColumn id="11" xr3:uid="{4B350D88-3D89-4BC7-8CC2-9425208EB4D0}" uniqueName="11" name="Profit" queryTableFieldId="1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0F0AE56-4ADB-465E-B650-243957412198}" name="Table2" displayName="Table2" ref="O3:O4" totalsRowShown="0">
  <autoFilter ref="O3:O4" xr:uid="{90F0AE56-4ADB-465E-B650-243957412198}"/>
  <tableColumns count="1">
    <tableColumn id="1" xr3:uid="{4D91B034-C932-43FC-B377-5691CAE0788C}" name="TOTAL REVENUE">
      <calculatedColumnFormula>SUM(I:I)</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018D82A-6F53-4C6A-A8B7-6BFC9B0BF8A3}">
  <we:reference id="wa200005502" version="1.0.0.12" store="en-US" storeType="OMEX"/>
  <we:alternateReferences>
    <we:reference id="wa200005502" version="1.0.0.12" store="wa200005502" storeType="OMEX"/>
  </we:alternateReferences>
  <we:properties>
    <we:property name="docId" value="&quot;mvsu6rHpwHRtf2Xn0EmiA&quot;"/>
  </we:properties>
  <we:bindings/>
  <we:snapshot xmlns:r="http://schemas.openxmlformats.org/officeDocument/2006/relationships"/>
  <we:extLs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8" Type="http://schemas.openxmlformats.org/officeDocument/2006/relationships/table" Target="../tables/table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table" Target="../tables/table2.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8E5F58-6604-4F24-AB92-9A7B4508EC0D}">
  <dimension ref="A1:Y2001"/>
  <sheetViews>
    <sheetView topLeftCell="A1966" zoomScale="75" workbookViewId="0">
      <selection activeCell="D2001" sqref="D2001"/>
    </sheetView>
  </sheetViews>
  <sheetFormatPr defaultRowHeight="14.4" x14ac:dyDescent="0.3"/>
  <cols>
    <col min="1" max="1" width="10.5546875" bestFit="1" customWidth="1"/>
    <col min="2" max="2" width="9.21875" bestFit="1" customWidth="1"/>
    <col min="3" max="3" width="13.21875" bestFit="1" customWidth="1"/>
    <col min="4" max="4" width="10.109375" bestFit="1" customWidth="1"/>
    <col min="5" max="5" width="16" bestFit="1" customWidth="1"/>
    <col min="6" max="6" width="10.77734375" bestFit="1" customWidth="1"/>
    <col min="7" max="7" width="11.33203125" bestFit="1" customWidth="1"/>
    <col min="8" max="8" width="13.44140625" bestFit="1" customWidth="1"/>
    <col min="9" max="9" width="10.5546875" bestFit="1" customWidth="1"/>
    <col min="10" max="10" width="9.6640625" bestFit="1" customWidth="1"/>
    <col min="11" max="11" width="8" bestFit="1" customWidth="1"/>
    <col min="15" max="15" width="24.6640625" customWidth="1"/>
    <col min="17" max="17" width="18.109375" customWidth="1"/>
    <col min="21" max="21" width="13.77734375" bestFit="1" customWidth="1"/>
    <col min="22" max="22" width="12.21875" bestFit="1" customWidth="1"/>
    <col min="24" max="25" width="13.77734375" bestFit="1" customWidth="1"/>
    <col min="26" max="26" width="18.6640625" bestFit="1" customWidth="1"/>
    <col min="27" max="27" width="17.88671875" bestFit="1" customWidth="1"/>
    <col min="28" max="28" width="13.77734375" bestFit="1" customWidth="1"/>
    <col min="29" max="29" width="16.109375" bestFit="1" customWidth="1"/>
    <col min="30" max="30" width="12.21875" bestFit="1" customWidth="1"/>
  </cols>
  <sheetData>
    <row r="1" spans="1:25" x14ac:dyDescent="0.3">
      <c r="A1" t="s">
        <v>0</v>
      </c>
      <c r="B1" t="s">
        <v>1</v>
      </c>
      <c r="C1" t="s">
        <v>2</v>
      </c>
      <c r="D1" t="s">
        <v>3</v>
      </c>
      <c r="E1" t="s">
        <v>4</v>
      </c>
      <c r="F1" t="s">
        <v>5</v>
      </c>
      <c r="G1" t="s">
        <v>6</v>
      </c>
      <c r="H1" t="s">
        <v>7</v>
      </c>
      <c r="I1" t="s">
        <v>8</v>
      </c>
      <c r="J1" t="s">
        <v>9</v>
      </c>
      <c r="K1" t="s">
        <v>10</v>
      </c>
    </row>
    <row r="2" spans="1:25" x14ac:dyDescent="0.3">
      <c r="A2" s="1">
        <v>44996</v>
      </c>
      <c r="B2" t="s">
        <v>11</v>
      </c>
      <c r="C2" t="s">
        <v>12</v>
      </c>
      <c r="D2" t="s">
        <v>13</v>
      </c>
      <c r="E2" t="s">
        <v>14</v>
      </c>
      <c r="F2" t="s">
        <v>15</v>
      </c>
      <c r="G2">
        <v>163.53</v>
      </c>
      <c r="H2">
        <v>12</v>
      </c>
      <c r="I2">
        <v>702.42</v>
      </c>
      <c r="J2">
        <v>3</v>
      </c>
      <c r="K2">
        <v>415.09</v>
      </c>
    </row>
    <row r="3" spans="1:25" x14ac:dyDescent="0.3">
      <c r="A3" s="1">
        <v>45073</v>
      </c>
      <c r="B3" t="s">
        <v>11</v>
      </c>
      <c r="C3" t="s">
        <v>12</v>
      </c>
      <c r="D3" t="s">
        <v>13</v>
      </c>
      <c r="E3" t="s">
        <v>14</v>
      </c>
      <c r="F3" t="s">
        <v>16</v>
      </c>
      <c r="G3">
        <v>105.61</v>
      </c>
      <c r="H3">
        <v>1</v>
      </c>
      <c r="I3">
        <v>28.83</v>
      </c>
      <c r="J3">
        <v>1</v>
      </c>
      <c r="K3">
        <v>-83.32</v>
      </c>
      <c r="O3" t="s">
        <v>30</v>
      </c>
      <c r="Q3" t="s">
        <v>31</v>
      </c>
    </row>
    <row r="4" spans="1:25" x14ac:dyDescent="0.3">
      <c r="A4" s="1">
        <v>45090</v>
      </c>
      <c r="B4" t="s">
        <v>17</v>
      </c>
      <c r="C4" t="s">
        <v>18</v>
      </c>
      <c r="D4" t="s">
        <v>19</v>
      </c>
      <c r="E4" t="s">
        <v>20</v>
      </c>
      <c r="F4" t="s">
        <v>15</v>
      </c>
      <c r="G4">
        <v>179.62</v>
      </c>
      <c r="H4">
        <v>4</v>
      </c>
      <c r="I4">
        <v>351.58</v>
      </c>
      <c r="J4">
        <v>2</v>
      </c>
      <c r="K4">
        <v>150.93</v>
      </c>
      <c r="O4">
        <f>SUM(I:I)</f>
        <v>1148660.9400000025</v>
      </c>
      <c r="Q4">
        <f>SUM(G:G)</f>
        <v>205839.08</v>
      </c>
    </row>
    <row r="5" spans="1:25" x14ac:dyDescent="0.3">
      <c r="A5" s="1">
        <v>45282</v>
      </c>
      <c r="B5" t="s">
        <v>21</v>
      </c>
      <c r="C5" t="s">
        <v>18</v>
      </c>
      <c r="D5" t="s">
        <v>13</v>
      </c>
      <c r="E5" t="s">
        <v>14</v>
      </c>
      <c r="F5" t="s">
        <v>22</v>
      </c>
      <c r="G5">
        <v>134.06</v>
      </c>
      <c r="H5">
        <v>6</v>
      </c>
      <c r="I5">
        <v>535.91999999999996</v>
      </c>
      <c r="J5">
        <v>0</v>
      </c>
      <c r="K5">
        <v>401.86</v>
      </c>
    </row>
    <row r="6" spans="1:25" x14ac:dyDescent="0.3">
      <c r="A6" s="1">
        <v>45245</v>
      </c>
      <c r="B6" t="s">
        <v>23</v>
      </c>
      <c r="C6" t="s">
        <v>24</v>
      </c>
      <c r="D6" t="s">
        <v>19</v>
      </c>
      <c r="E6" t="s">
        <v>14</v>
      </c>
      <c r="F6" t="s">
        <v>22</v>
      </c>
      <c r="G6">
        <v>59.04</v>
      </c>
      <c r="H6">
        <v>9</v>
      </c>
      <c r="I6">
        <v>177.79</v>
      </c>
      <c r="J6">
        <v>0</v>
      </c>
      <c r="K6">
        <v>118.75</v>
      </c>
    </row>
    <row r="7" spans="1:25" x14ac:dyDescent="0.3">
      <c r="A7" s="1">
        <v>45290</v>
      </c>
      <c r="B7" t="s">
        <v>21</v>
      </c>
      <c r="C7" t="s">
        <v>18</v>
      </c>
      <c r="D7" t="s">
        <v>25</v>
      </c>
      <c r="E7" t="s">
        <v>20</v>
      </c>
      <c r="F7" t="s">
        <v>26</v>
      </c>
      <c r="G7">
        <v>139.69999999999999</v>
      </c>
      <c r="H7">
        <v>8</v>
      </c>
      <c r="I7">
        <v>446.29</v>
      </c>
      <c r="J7">
        <v>1</v>
      </c>
      <c r="K7">
        <v>276.2</v>
      </c>
      <c r="O7" t="s">
        <v>32</v>
      </c>
      <c r="U7" s="2" t="s">
        <v>40</v>
      </c>
      <c r="V7" t="s">
        <v>54</v>
      </c>
      <c r="X7" s="2" t="s">
        <v>40</v>
      </c>
      <c r="Y7" t="s">
        <v>55</v>
      </c>
    </row>
    <row r="8" spans="1:25" x14ac:dyDescent="0.3">
      <c r="A8" s="1">
        <v>45125</v>
      </c>
      <c r="B8" t="s">
        <v>17</v>
      </c>
      <c r="C8" t="s">
        <v>12</v>
      </c>
      <c r="D8" t="s">
        <v>19</v>
      </c>
      <c r="E8" t="s">
        <v>14</v>
      </c>
      <c r="F8" t="s">
        <v>15</v>
      </c>
      <c r="G8">
        <v>26.25</v>
      </c>
      <c r="H8">
        <v>15</v>
      </c>
      <c r="I8">
        <v>527.05999999999995</v>
      </c>
      <c r="J8">
        <v>2</v>
      </c>
      <c r="K8">
        <v>412.22</v>
      </c>
      <c r="O8">
        <f>SUM(K:K)</f>
        <v>864050.36000000103</v>
      </c>
      <c r="U8" s="3" t="s">
        <v>42</v>
      </c>
      <c r="V8" s="4">
        <v>71030.929999999993</v>
      </c>
      <c r="X8" s="3" t="s">
        <v>42</v>
      </c>
      <c r="Y8" s="4">
        <v>18276.23</v>
      </c>
    </row>
    <row r="9" spans="1:25" x14ac:dyDescent="0.3">
      <c r="A9" s="1">
        <v>45118</v>
      </c>
      <c r="B9" t="s">
        <v>17</v>
      </c>
      <c r="C9" t="s">
        <v>12</v>
      </c>
      <c r="D9" t="s">
        <v>19</v>
      </c>
      <c r="E9" t="s">
        <v>14</v>
      </c>
      <c r="F9" t="s">
        <v>16</v>
      </c>
      <c r="G9">
        <v>185.52</v>
      </c>
      <c r="H9">
        <v>11</v>
      </c>
      <c r="I9">
        <v>603.65</v>
      </c>
      <c r="J9">
        <v>2</v>
      </c>
      <c r="K9">
        <v>393.32</v>
      </c>
      <c r="U9" s="3" t="s">
        <v>43</v>
      </c>
      <c r="V9" s="4">
        <v>58265.83</v>
      </c>
      <c r="X9" s="3" t="s">
        <v>43</v>
      </c>
      <c r="Y9" s="4">
        <v>13231.56</v>
      </c>
    </row>
    <row r="10" spans="1:25" x14ac:dyDescent="0.3">
      <c r="A10" s="1">
        <v>45226</v>
      </c>
      <c r="B10" t="s">
        <v>23</v>
      </c>
      <c r="C10" t="s">
        <v>24</v>
      </c>
      <c r="D10" t="s">
        <v>27</v>
      </c>
      <c r="E10" t="s">
        <v>14</v>
      </c>
      <c r="F10" t="s">
        <v>15</v>
      </c>
      <c r="G10">
        <v>106.32</v>
      </c>
      <c r="H10">
        <v>7</v>
      </c>
      <c r="I10">
        <v>544.35</v>
      </c>
      <c r="J10">
        <v>2</v>
      </c>
      <c r="K10">
        <v>404.33</v>
      </c>
      <c r="U10" s="3" t="s">
        <v>44</v>
      </c>
      <c r="V10" s="4">
        <v>82686.259999999995</v>
      </c>
      <c r="X10" s="3" t="s">
        <v>44</v>
      </c>
      <c r="Y10" s="4">
        <v>18364.5</v>
      </c>
    </row>
    <row r="11" spans="1:25" x14ac:dyDescent="0.3">
      <c r="A11" s="1">
        <v>45190</v>
      </c>
      <c r="B11" t="s">
        <v>23</v>
      </c>
      <c r="C11" t="s">
        <v>18</v>
      </c>
      <c r="D11" t="s">
        <v>25</v>
      </c>
      <c r="E11" t="s">
        <v>14</v>
      </c>
      <c r="F11" t="s">
        <v>16</v>
      </c>
      <c r="G11">
        <v>128.55000000000001</v>
      </c>
      <c r="H11">
        <v>19</v>
      </c>
      <c r="I11">
        <v>696.46</v>
      </c>
      <c r="J11">
        <v>3</v>
      </c>
      <c r="K11">
        <v>489.5</v>
      </c>
      <c r="U11" s="3" t="s">
        <v>45</v>
      </c>
      <c r="V11" s="4">
        <v>65725.929999999993</v>
      </c>
      <c r="X11" s="3" t="s">
        <v>45</v>
      </c>
      <c r="Y11" s="4">
        <v>17286.689999999999</v>
      </c>
    </row>
    <row r="12" spans="1:25" x14ac:dyDescent="0.3">
      <c r="A12" s="1">
        <v>44953</v>
      </c>
      <c r="B12" t="s">
        <v>21</v>
      </c>
      <c r="C12" t="s">
        <v>18</v>
      </c>
      <c r="D12" t="s">
        <v>28</v>
      </c>
      <c r="E12" t="s">
        <v>20</v>
      </c>
      <c r="F12" t="s">
        <v>16</v>
      </c>
      <c r="G12">
        <v>177.03</v>
      </c>
      <c r="H12">
        <v>11</v>
      </c>
      <c r="I12">
        <v>387.02</v>
      </c>
      <c r="J12">
        <v>0</v>
      </c>
      <c r="K12">
        <v>209.99</v>
      </c>
      <c r="O12" t="s">
        <v>33</v>
      </c>
      <c r="Q12" t="s">
        <v>34</v>
      </c>
      <c r="U12" s="3" t="s">
        <v>46</v>
      </c>
      <c r="V12" s="4">
        <v>69656.14</v>
      </c>
      <c r="X12" s="3" t="s">
        <v>46</v>
      </c>
      <c r="Y12" s="4">
        <v>16332.32</v>
      </c>
    </row>
    <row r="13" spans="1:25" x14ac:dyDescent="0.3">
      <c r="A13" s="1">
        <v>45113</v>
      </c>
      <c r="B13" t="s">
        <v>17</v>
      </c>
      <c r="C13" t="s">
        <v>29</v>
      </c>
      <c r="D13" t="s">
        <v>28</v>
      </c>
      <c r="E13" t="s">
        <v>20</v>
      </c>
      <c r="F13" t="s">
        <v>22</v>
      </c>
      <c r="G13">
        <v>148.36000000000001</v>
      </c>
      <c r="H13">
        <v>2</v>
      </c>
      <c r="I13">
        <v>62.35</v>
      </c>
      <c r="J13">
        <v>0</v>
      </c>
      <c r="K13">
        <v>-86.01</v>
      </c>
      <c r="O13">
        <f>SUM(O4)-SUM(Q4)/SUM(Q4)</f>
        <v>1148659.9400000025</v>
      </c>
      <c r="Q13">
        <f>SUM(H:H)</f>
        <v>20773</v>
      </c>
      <c r="U13" s="3" t="s">
        <v>47</v>
      </c>
      <c r="V13" s="4">
        <v>64407.97</v>
      </c>
      <c r="X13" s="3" t="s">
        <v>47</v>
      </c>
      <c r="Y13" s="4">
        <v>17586.09</v>
      </c>
    </row>
    <row r="14" spans="1:25" x14ac:dyDescent="0.3">
      <c r="A14" s="1">
        <v>45176</v>
      </c>
      <c r="B14" t="s">
        <v>23</v>
      </c>
      <c r="C14" t="s">
        <v>24</v>
      </c>
      <c r="D14" t="s">
        <v>27</v>
      </c>
      <c r="E14" t="s">
        <v>14</v>
      </c>
      <c r="F14" t="s">
        <v>22</v>
      </c>
      <c r="G14">
        <v>84.67</v>
      </c>
      <c r="H14">
        <v>5</v>
      </c>
      <c r="I14">
        <v>483.83</v>
      </c>
      <c r="J14">
        <v>0</v>
      </c>
      <c r="K14">
        <v>399.16</v>
      </c>
      <c r="U14" s="3" t="s">
        <v>48</v>
      </c>
      <c r="V14" s="4">
        <v>73631.350000000006</v>
      </c>
      <c r="X14" s="3" t="s">
        <v>48</v>
      </c>
      <c r="Y14" s="4">
        <v>16753.87</v>
      </c>
    </row>
    <row r="15" spans="1:25" x14ac:dyDescent="0.3">
      <c r="A15" s="1">
        <v>45137</v>
      </c>
      <c r="B15" t="s">
        <v>17</v>
      </c>
      <c r="C15" t="s">
        <v>24</v>
      </c>
      <c r="D15" t="s">
        <v>28</v>
      </c>
      <c r="E15" t="s">
        <v>20</v>
      </c>
      <c r="F15" t="s">
        <v>16</v>
      </c>
      <c r="G15">
        <v>119.21</v>
      </c>
      <c r="H15">
        <v>9</v>
      </c>
      <c r="I15">
        <v>91.55</v>
      </c>
      <c r="J15">
        <v>3</v>
      </c>
      <c r="K15">
        <v>-69.41</v>
      </c>
      <c r="U15" s="3" t="s">
        <v>49</v>
      </c>
      <c r="V15" s="4">
        <v>83972.53</v>
      </c>
      <c r="X15" s="3" t="s">
        <v>49</v>
      </c>
      <c r="Y15" s="4">
        <v>18234.28</v>
      </c>
    </row>
    <row r="16" spans="1:25" x14ac:dyDescent="0.3">
      <c r="A16" s="1">
        <v>45030</v>
      </c>
      <c r="B16" t="s">
        <v>11</v>
      </c>
      <c r="C16" t="s">
        <v>29</v>
      </c>
      <c r="D16" t="s">
        <v>28</v>
      </c>
      <c r="E16" t="s">
        <v>20</v>
      </c>
      <c r="F16" t="s">
        <v>16</v>
      </c>
      <c r="G16">
        <v>170.67</v>
      </c>
      <c r="H16">
        <v>9</v>
      </c>
      <c r="I16">
        <v>390.4</v>
      </c>
      <c r="J16">
        <v>3</v>
      </c>
      <c r="K16">
        <v>111.82</v>
      </c>
      <c r="U16" s="3" t="s">
        <v>50</v>
      </c>
      <c r="V16" s="4">
        <v>70673.509999999995</v>
      </c>
      <c r="X16" s="3" t="s">
        <v>50</v>
      </c>
      <c r="Y16" s="4">
        <v>16219.22</v>
      </c>
    </row>
    <row r="17" spans="1:25" x14ac:dyDescent="0.3">
      <c r="A17" s="1">
        <v>45263</v>
      </c>
      <c r="B17" t="s">
        <v>21</v>
      </c>
      <c r="C17" t="s">
        <v>12</v>
      </c>
      <c r="D17" t="s">
        <v>19</v>
      </c>
      <c r="E17" t="s">
        <v>20</v>
      </c>
      <c r="F17" t="s">
        <v>15</v>
      </c>
      <c r="G17">
        <v>13.45</v>
      </c>
      <c r="H17">
        <v>1</v>
      </c>
      <c r="I17">
        <v>79.650000000000006</v>
      </c>
      <c r="J17">
        <v>0</v>
      </c>
      <c r="K17">
        <v>66.2</v>
      </c>
      <c r="O17" t="s">
        <v>35</v>
      </c>
      <c r="U17" s="3" t="s">
        <v>51</v>
      </c>
      <c r="V17" s="4">
        <v>76980.490000000005</v>
      </c>
      <c r="X17" s="3" t="s">
        <v>51</v>
      </c>
      <c r="Y17" s="4">
        <v>18571.29</v>
      </c>
    </row>
    <row r="18" spans="1:25" x14ac:dyDescent="0.3">
      <c r="A18" s="1">
        <v>45142</v>
      </c>
      <c r="B18" t="s">
        <v>17</v>
      </c>
      <c r="C18" t="s">
        <v>12</v>
      </c>
      <c r="D18" t="s">
        <v>13</v>
      </c>
      <c r="E18" t="s">
        <v>20</v>
      </c>
      <c r="F18" t="s">
        <v>26</v>
      </c>
      <c r="G18">
        <v>90.17</v>
      </c>
      <c r="H18">
        <v>19</v>
      </c>
      <c r="I18">
        <v>840.71</v>
      </c>
      <c r="J18">
        <v>3</v>
      </c>
      <c r="K18">
        <v>628.42999999999995</v>
      </c>
      <c r="O18">
        <f>SUM(H:H) / SUM(G:G)</f>
        <v>0.10091863993951003</v>
      </c>
      <c r="U18" s="3" t="s">
        <v>52</v>
      </c>
      <c r="V18" s="4">
        <v>63894.54</v>
      </c>
      <c r="X18" s="3" t="s">
        <v>52</v>
      </c>
      <c r="Y18" s="4">
        <v>14822.09</v>
      </c>
    </row>
    <row r="19" spans="1:25" x14ac:dyDescent="0.3">
      <c r="A19" s="1">
        <v>45074</v>
      </c>
      <c r="B19" t="s">
        <v>11</v>
      </c>
      <c r="C19" t="s">
        <v>12</v>
      </c>
      <c r="D19" t="s">
        <v>27</v>
      </c>
      <c r="E19" t="s">
        <v>14</v>
      </c>
      <c r="F19" t="s">
        <v>22</v>
      </c>
      <c r="G19">
        <v>20.49</v>
      </c>
      <c r="H19">
        <v>3</v>
      </c>
      <c r="I19">
        <v>57.39</v>
      </c>
      <c r="J19">
        <v>1</v>
      </c>
      <c r="K19">
        <v>17.03</v>
      </c>
      <c r="U19" s="3" t="s">
        <v>53</v>
      </c>
      <c r="V19" s="4">
        <v>83124.88</v>
      </c>
      <c r="X19" s="3" t="s">
        <v>53</v>
      </c>
      <c r="Y19" s="4">
        <v>20160.939999999999</v>
      </c>
    </row>
    <row r="20" spans="1:25" x14ac:dyDescent="0.3">
      <c r="A20" s="1">
        <v>45155</v>
      </c>
      <c r="B20" t="s">
        <v>17</v>
      </c>
      <c r="C20" t="s">
        <v>18</v>
      </c>
      <c r="D20" t="s">
        <v>27</v>
      </c>
      <c r="E20" t="s">
        <v>20</v>
      </c>
      <c r="F20" t="s">
        <v>16</v>
      </c>
      <c r="G20">
        <v>43.2</v>
      </c>
      <c r="H20">
        <v>1</v>
      </c>
      <c r="I20">
        <v>59.81</v>
      </c>
      <c r="J20">
        <v>0</v>
      </c>
      <c r="K20">
        <v>16.61</v>
      </c>
      <c r="U20" s="3" t="s">
        <v>41</v>
      </c>
      <c r="V20" s="4">
        <v>864050.36</v>
      </c>
      <c r="X20" s="3" t="s">
        <v>41</v>
      </c>
      <c r="Y20" s="4">
        <v>205839.08</v>
      </c>
    </row>
    <row r="21" spans="1:25" x14ac:dyDescent="0.3">
      <c r="A21" s="1">
        <v>45194</v>
      </c>
      <c r="B21" t="s">
        <v>23</v>
      </c>
      <c r="C21" t="s">
        <v>29</v>
      </c>
      <c r="D21" t="s">
        <v>19</v>
      </c>
      <c r="E21" t="s">
        <v>14</v>
      </c>
      <c r="F21" t="s">
        <v>16</v>
      </c>
      <c r="G21">
        <v>125.25</v>
      </c>
      <c r="H21">
        <v>9</v>
      </c>
      <c r="I21">
        <v>245.15</v>
      </c>
      <c r="J21">
        <v>0</v>
      </c>
      <c r="K21">
        <v>119.9</v>
      </c>
    </row>
    <row r="22" spans="1:25" x14ac:dyDescent="0.3">
      <c r="A22" s="1">
        <v>45256</v>
      </c>
      <c r="B22" t="s">
        <v>23</v>
      </c>
      <c r="C22" t="s">
        <v>29</v>
      </c>
      <c r="D22" t="s">
        <v>25</v>
      </c>
      <c r="E22" t="s">
        <v>20</v>
      </c>
      <c r="F22" t="s">
        <v>22</v>
      </c>
      <c r="G22">
        <v>180.99</v>
      </c>
      <c r="H22">
        <v>20</v>
      </c>
      <c r="I22">
        <v>736.55</v>
      </c>
      <c r="J22">
        <v>1</v>
      </c>
      <c r="K22">
        <v>531.55999999999995</v>
      </c>
      <c r="X22" s="2" t="s">
        <v>40</v>
      </c>
      <c r="Y22" t="s">
        <v>55</v>
      </c>
    </row>
    <row r="23" spans="1:25" x14ac:dyDescent="0.3">
      <c r="A23" s="1">
        <v>45242</v>
      </c>
      <c r="B23" t="s">
        <v>23</v>
      </c>
      <c r="C23" t="s">
        <v>12</v>
      </c>
      <c r="D23" t="s">
        <v>28</v>
      </c>
      <c r="E23" t="s">
        <v>20</v>
      </c>
      <c r="F23" t="s">
        <v>16</v>
      </c>
      <c r="G23">
        <v>189.11</v>
      </c>
      <c r="H23">
        <v>5</v>
      </c>
      <c r="I23">
        <v>436.52</v>
      </c>
      <c r="J23">
        <v>0</v>
      </c>
      <c r="K23">
        <v>247.41</v>
      </c>
      <c r="M23" s="2" t="s">
        <v>40</v>
      </c>
      <c r="N23" t="s">
        <v>55</v>
      </c>
      <c r="O23" t="s">
        <v>54</v>
      </c>
      <c r="Q23" s="2" t="s">
        <v>40</v>
      </c>
      <c r="R23" t="s">
        <v>56</v>
      </c>
      <c r="U23" s="2" t="s">
        <v>40</v>
      </c>
      <c r="V23" t="s">
        <v>57</v>
      </c>
      <c r="X23" s="3" t="s">
        <v>25</v>
      </c>
      <c r="Y23" s="4">
        <v>39061.64</v>
      </c>
    </row>
    <row r="24" spans="1:25" x14ac:dyDescent="0.3">
      <c r="A24" s="1">
        <v>45130</v>
      </c>
      <c r="B24" t="s">
        <v>17</v>
      </c>
      <c r="C24" t="s">
        <v>18</v>
      </c>
      <c r="D24" t="s">
        <v>27</v>
      </c>
      <c r="E24" t="s">
        <v>20</v>
      </c>
      <c r="F24" t="s">
        <v>16</v>
      </c>
      <c r="G24">
        <v>101.35</v>
      </c>
      <c r="H24">
        <v>10</v>
      </c>
      <c r="I24">
        <v>593.91</v>
      </c>
      <c r="J24">
        <v>0</v>
      </c>
      <c r="K24">
        <v>492.56</v>
      </c>
      <c r="M24" s="3" t="s">
        <v>23</v>
      </c>
      <c r="N24" s="4">
        <v>49612.6</v>
      </c>
      <c r="O24" s="4">
        <v>211548.54</v>
      </c>
      <c r="Q24" s="3" t="s">
        <v>15</v>
      </c>
      <c r="R24" s="4">
        <v>724</v>
      </c>
      <c r="U24" s="3" t="s">
        <v>24</v>
      </c>
      <c r="V24" s="4">
        <v>5394</v>
      </c>
      <c r="X24" s="3" t="s">
        <v>13</v>
      </c>
      <c r="Y24" s="4">
        <v>41166.730000000003</v>
      </c>
    </row>
    <row r="25" spans="1:25" x14ac:dyDescent="0.3">
      <c r="A25" s="1">
        <v>45011</v>
      </c>
      <c r="B25" t="s">
        <v>11</v>
      </c>
      <c r="C25" t="s">
        <v>24</v>
      </c>
      <c r="D25" t="s">
        <v>13</v>
      </c>
      <c r="E25" t="s">
        <v>14</v>
      </c>
      <c r="F25" t="s">
        <v>15</v>
      </c>
      <c r="G25">
        <v>163.78</v>
      </c>
      <c r="H25">
        <v>13</v>
      </c>
      <c r="I25">
        <v>377.78</v>
      </c>
      <c r="J25">
        <v>1</v>
      </c>
      <c r="K25">
        <v>185.06</v>
      </c>
      <c r="M25" s="3" t="s">
        <v>11</v>
      </c>
      <c r="N25" s="4">
        <v>51983.51</v>
      </c>
      <c r="O25" s="4">
        <v>218068.33</v>
      </c>
      <c r="Q25" s="3" t="s">
        <v>22</v>
      </c>
      <c r="R25" s="4">
        <v>705</v>
      </c>
      <c r="U25" s="3" t="s">
        <v>18</v>
      </c>
      <c r="V25" s="4">
        <v>5014</v>
      </c>
      <c r="X25" s="3" t="s">
        <v>19</v>
      </c>
      <c r="Y25" s="4">
        <v>41246.46</v>
      </c>
    </row>
    <row r="26" spans="1:25" x14ac:dyDescent="0.3">
      <c r="A26" s="1">
        <v>45146</v>
      </c>
      <c r="B26" t="s">
        <v>17</v>
      </c>
      <c r="C26" t="s">
        <v>24</v>
      </c>
      <c r="D26" t="s">
        <v>19</v>
      </c>
      <c r="E26" t="s">
        <v>14</v>
      </c>
      <c r="F26" t="s">
        <v>16</v>
      </c>
      <c r="G26">
        <v>122.08</v>
      </c>
      <c r="H26">
        <v>11</v>
      </c>
      <c r="I26">
        <v>239.05</v>
      </c>
      <c r="J26">
        <v>3</v>
      </c>
      <c r="K26">
        <v>36.659999999999997</v>
      </c>
      <c r="M26" s="3" t="s">
        <v>17</v>
      </c>
      <c r="N26" s="4">
        <v>52574.239999999998</v>
      </c>
      <c r="O26" s="4">
        <v>222011.85</v>
      </c>
      <c r="Q26" s="3" t="s">
        <v>26</v>
      </c>
      <c r="R26" s="4">
        <v>678</v>
      </c>
      <c r="U26" s="3" t="s">
        <v>12</v>
      </c>
      <c r="V26" s="4">
        <v>5077</v>
      </c>
      <c r="X26" s="3" t="s">
        <v>27</v>
      </c>
      <c r="Y26" s="4">
        <v>43823.54</v>
      </c>
    </row>
    <row r="27" spans="1:25" x14ac:dyDescent="0.3">
      <c r="A27" s="1">
        <v>45279</v>
      </c>
      <c r="B27" t="s">
        <v>21</v>
      </c>
      <c r="C27" t="s">
        <v>18</v>
      </c>
      <c r="D27" t="s">
        <v>13</v>
      </c>
      <c r="E27" t="s">
        <v>20</v>
      </c>
      <c r="F27" t="s">
        <v>15</v>
      </c>
      <c r="G27">
        <v>44.96</v>
      </c>
      <c r="H27">
        <v>16</v>
      </c>
      <c r="I27">
        <v>407.34</v>
      </c>
      <c r="J27">
        <v>1</v>
      </c>
      <c r="K27">
        <v>347.58</v>
      </c>
      <c r="M27" s="3" t="s">
        <v>21</v>
      </c>
      <c r="N27" s="4">
        <v>51668.73</v>
      </c>
      <c r="O27" s="4">
        <v>212421.64</v>
      </c>
      <c r="Q27" s="3" t="s">
        <v>16</v>
      </c>
      <c r="R27" s="4">
        <v>727</v>
      </c>
      <c r="U27" s="3" t="s">
        <v>29</v>
      </c>
      <c r="V27" s="4">
        <v>5288</v>
      </c>
      <c r="X27" s="3" t="s">
        <v>28</v>
      </c>
      <c r="Y27" s="4">
        <v>40540.71</v>
      </c>
    </row>
    <row r="28" spans="1:25" x14ac:dyDescent="0.3">
      <c r="A28" s="1">
        <v>45000</v>
      </c>
      <c r="B28" t="s">
        <v>11</v>
      </c>
      <c r="C28" t="s">
        <v>24</v>
      </c>
      <c r="D28" t="s">
        <v>19</v>
      </c>
      <c r="E28" t="s">
        <v>20</v>
      </c>
      <c r="F28" t="s">
        <v>16</v>
      </c>
      <c r="G28">
        <v>190.31</v>
      </c>
      <c r="H28">
        <v>15</v>
      </c>
      <c r="I28">
        <v>224.39</v>
      </c>
      <c r="J28">
        <v>0</v>
      </c>
      <c r="K28">
        <v>34.08</v>
      </c>
      <c r="M28" s="3" t="s">
        <v>41</v>
      </c>
      <c r="N28" s="4">
        <v>205839.08</v>
      </c>
      <c r="O28" s="4">
        <v>864050.36</v>
      </c>
      <c r="Q28" s="3" t="s">
        <v>41</v>
      </c>
      <c r="R28" s="4">
        <v>2834</v>
      </c>
      <c r="U28" s="3" t="s">
        <v>41</v>
      </c>
      <c r="V28" s="4">
        <v>20773</v>
      </c>
      <c r="X28" s="3" t="s">
        <v>41</v>
      </c>
      <c r="Y28" s="4">
        <v>205839.08</v>
      </c>
    </row>
    <row r="29" spans="1:25" x14ac:dyDescent="0.3">
      <c r="A29" s="1">
        <v>45005</v>
      </c>
      <c r="B29" t="s">
        <v>11</v>
      </c>
      <c r="C29" t="s">
        <v>12</v>
      </c>
      <c r="D29" t="s">
        <v>25</v>
      </c>
      <c r="E29" t="s">
        <v>20</v>
      </c>
      <c r="F29" t="s">
        <v>26</v>
      </c>
      <c r="G29">
        <v>123.64</v>
      </c>
      <c r="H29">
        <v>4</v>
      </c>
      <c r="I29">
        <v>294.37</v>
      </c>
      <c r="J29">
        <v>0</v>
      </c>
      <c r="K29">
        <v>170.73</v>
      </c>
    </row>
    <row r="30" spans="1:25" x14ac:dyDescent="0.3">
      <c r="A30" s="1">
        <v>45206</v>
      </c>
      <c r="B30" t="s">
        <v>23</v>
      </c>
      <c r="C30" t="s">
        <v>12</v>
      </c>
      <c r="D30" t="s">
        <v>19</v>
      </c>
      <c r="E30" t="s">
        <v>20</v>
      </c>
      <c r="F30" t="s">
        <v>26</v>
      </c>
      <c r="G30">
        <v>41.48</v>
      </c>
      <c r="H30">
        <v>8</v>
      </c>
      <c r="I30">
        <v>352.08</v>
      </c>
      <c r="J30">
        <v>0</v>
      </c>
      <c r="K30">
        <v>310.60000000000002</v>
      </c>
    </row>
    <row r="31" spans="1:25" x14ac:dyDescent="0.3">
      <c r="A31" s="1">
        <v>45187</v>
      </c>
      <c r="B31" t="s">
        <v>23</v>
      </c>
      <c r="C31" t="s">
        <v>18</v>
      </c>
      <c r="D31" t="s">
        <v>27</v>
      </c>
      <c r="E31" t="s">
        <v>20</v>
      </c>
      <c r="F31" t="s">
        <v>26</v>
      </c>
      <c r="G31">
        <v>173.54</v>
      </c>
      <c r="H31">
        <v>7</v>
      </c>
      <c r="I31">
        <v>121.7</v>
      </c>
      <c r="J31">
        <v>2</v>
      </c>
      <c r="K31">
        <v>-101.98</v>
      </c>
    </row>
    <row r="32" spans="1:25" x14ac:dyDescent="0.3">
      <c r="A32" s="1">
        <v>45105</v>
      </c>
      <c r="B32" t="s">
        <v>17</v>
      </c>
      <c r="C32" t="s">
        <v>24</v>
      </c>
      <c r="D32" t="s">
        <v>25</v>
      </c>
      <c r="E32" t="s">
        <v>20</v>
      </c>
      <c r="F32" t="s">
        <v>22</v>
      </c>
      <c r="G32">
        <v>184.39</v>
      </c>
      <c r="H32">
        <v>1</v>
      </c>
      <c r="I32">
        <v>68.87</v>
      </c>
      <c r="J32">
        <v>1</v>
      </c>
      <c r="K32">
        <v>-163.84</v>
      </c>
    </row>
    <row r="33" spans="1:11" x14ac:dyDescent="0.3">
      <c r="A33" s="1">
        <v>45023</v>
      </c>
      <c r="B33" t="s">
        <v>11</v>
      </c>
      <c r="C33" t="s">
        <v>12</v>
      </c>
      <c r="D33" t="s">
        <v>27</v>
      </c>
      <c r="E33" t="s">
        <v>20</v>
      </c>
      <c r="F33" t="s">
        <v>16</v>
      </c>
      <c r="G33">
        <v>52.03</v>
      </c>
      <c r="H33">
        <v>10</v>
      </c>
      <c r="I33">
        <v>311.39</v>
      </c>
      <c r="J33">
        <v>3</v>
      </c>
      <c r="K33">
        <v>170.4</v>
      </c>
    </row>
    <row r="34" spans="1:11" x14ac:dyDescent="0.3">
      <c r="A34" s="1">
        <v>44939</v>
      </c>
      <c r="B34" t="s">
        <v>21</v>
      </c>
      <c r="C34" t="s">
        <v>12</v>
      </c>
      <c r="D34" t="s">
        <v>19</v>
      </c>
      <c r="E34" t="s">
        <v>20</v>
      </c>
      <c r="F34" t="s">
        <v>15</v>
      </c>
      <c r="G34">
        <v>162.69</v>
      </c>
      <c r="H34">
        <v>4</v>
      </c>
      <c r="I34">
        <v>394.63</v>
      </c>
      <c r="J34">
        <v>1</v>
      </c>
      <c r="K34">
        <v>216.14</v>
      </c>
    </row>
    <row r="35" spans="1:11" x14ac:dyDescent="0.3">
      <c r="A35" s="1">
        <v>45023</v>
      </c>
      <c r="B35" t="s">
        <v>11</v>
      </c>
      <c r="C35" t="s">
        <v>12</v>
      </c>
      <c r="D35" t="s">
        <v>25</v>
      </c>
      <c r="E35" t="s">
        <v>20</v>
      </c>
      <c r="F35" t="s">
        <v>22</v>
      </c>
      <c r="G35">
        <v>79.02</v>
      </c>
      <c r="H35">
        <v>20</v>
      </c>
      <c r="I35">
        <v>303.88</v>
      </c>
      <c r="J35">
        <v>0</v>
      </c>
      <c r="K35">
        <v>224.86</v>
      </c>
    </row>
    <row r="36" spans="1:11" x14ac:dyDescent="0.3">
      <c r="A36" s="1">
        <v>45166</v>
      </c>
      <c r="B36" t="s">
        <v>17</v>
      </c>
      <c r="C36" t="s">
        <v>12</v>
      </c>
      <c r="D36" t="s">
        <v>13</v>
      </c>
      <c r="E36" t="s">
        <v>14</v>
      </c>
      <c r="F36" t="s">
        <v>16</v>
      </c>
      <c r="G36">
        <v>139.30000000000001</v>
      </c>
      <c r="H36">
        <v>20</v>
      </c>
      <c r="I36">
        <v>1015.95</v>
      </c>
      <c r="J36">
        <v>1</v>
      </c>
      <c r="K36">
        <v>837.2</v>
      </c>
    </row>
    <row r="37" spans="1:11" x14ac:dyDescent="0.3">
      <c r="A37" s="1">
        <v>45152</v>
      </c>
      <c r="B37" t="s">
        <v>17</v>
      </c>
      <c r="C37" t="s">
        <v>29</v>
      </c>
      <c r="D37" t="s">
        <v>28</v>
      </c>
      <c r="E37" t="s">
        <v>20</v>
      </c>
      <c r="F37" t="s">
        <v>22</v>
      </c>
      <c r="G37">
        <v>66.25</v>
      </c>
      <c r="H37">
        <v>20</v>
      </c>
      <c r="I37">
        <v>1117.83</v>
      </c>
      <c r="J37">
        <v>2</v>
      </c>
      <c r="K37">
        <v>1039.4000000000001</v>
      </c>
    </row>
    <row r="38" spans="1:11" x14ac:dyDescent="0.3">
      <c r="A38" s="1">
        <v>44941</v>
      </c>
      <c r="B38" t="s">
        <v>21</v>
      </c>
      <c r="C38" t="s">
        <v>18</v>
      </c>
      <c r="D38" t="s">
        <v>13</v>
      </c>
      <c r="E38" t="s">
        <v>20</v>
      </c>
      <c r="F38" t="s">
        <v>15</v>
      </c>
      <c r="G38">
        <v>165.54</v>
      </c>
      <c r="H38">
        <v>18</v>
      </c>
      <c r="I38">
        <v>1765.57</v>
      </c>
      <c r="J38">
        <v>1</v>
      </c>
      <c r="K38">
        <v>1584.73</v>
      </c>
    </row>
    <row r="39" spans="1:11" x14ac:dyDescent="0.3">
      <c r="A39" s="1">
        <v>44963</v>
      </c>
      <c r="B39" t="s">
        <v>21</v>
      </c>
      <c r="C39" t="s">
        <v>12</v>
      </c>
      <c r="D39" t="s">
        <v>27</v>
      </c>
      <c r="E39" t="s">
        <v>20</v>
      </c>
      <c r="F39" t="s">
        <v>16</v>
      </c>
      <c r="G39">
        <v>170.68</v>
      </c>
      <c r="H39">
        <v>18</v>
      </c>
      <c r="I39">
        <v>1573.8</v>
      </c>
      <c r="J39">
        <v>0</v>
      </c>
      <c r="K39">
        <v>1403.12</v>
      </c>
    </row>
    <row r="40" spans="1:11" x14ac:dyDescent="0.3">
      <c r="A40" s="1">
        <v>45218</v>
      </c>
      <c r="B40" t="s">
        <v>23</v>
      </c>
      <c r="C40" t="s">
        <v>29</v>
      </c>
      <c r="D40" t="s">
        <v>13</v>
      </c>
      <c r="E40" t="s">
        <v>14</v>
      </c>
      <c r="F40" t="s">
        <v>16</v>
      </c>
      <c r="G40">
        <v>17.78</v>
      </c>
      <c r="H40">
        <v>20</v>
      </c>
      <c r="I40">
        <v>1209.52</v>
      </c>
      <c r="J40">
        <v>2</v>
      </c>
      <c r="K40">
        <v>1177.3699999999999</v>
      </c>
    </row>
    <row r="41" spans="1:11" x14ac:dyDescent="0.3">
      <c r="A41" s="1">
        <v>45204</v>
      </c>
      <c r="B41" t="s">
        <v>23</v>
      </c>
      <c r="C41" t="s">
        <v>18</v>
      </c>
      <c r="D41" t="s">
        <v>28</v>
      </c>
      <c r="E41" t="s">
        <v>20</v>
      </c>
      <c r="F41" t="s">
        <v>26</v>
      </c>
      <c r="G41">
        <v>80.37</v>
      </c>
      <c r="H41">
        <v>19</v>
      </c>
      <c r="I41">
        <v>1661.06</v>
      </c>
      <c r="J41">
        <v>0</v>
      </c>
      <c r="K41">
        <v>1580.69</v>
      </c>
    </row>
    <row r="42" spans="1:11" x14ac:dyDescent="0.3">
      <c r="A42" s="1">
        <v>45105</v>
      </c>
      <c r="B42" t="s">
        <v>17</v>
      </c>
      <c r="C42" t="s">
        <v>18</v>
      </c>
      <c r="D42" t="s">
        <v>27</v>
      </c>
      <c r="E42" t="s">
        <v>20</v>
      </c>
      <c r="F42" t="s">
        <v>16</v>
      </c>
      <c r="G42">
        <v>131.29</v>
      </c>
      <c r="H42">
        <v>16</v>
      </c>
      <c r="I42">
        <v>568.26</v>
      </c>
      <c r="J42">
        <v>1</v>
      </c>
      <c r="K42">
        <v>431.17</v>
      </c>
    </row>
    <row r="43" spans="1:11" x14ac:dyDescent="0.3">
      <c r="A43" s="1">
        <v>45031</v>
      </c>
      <c r="B43" t="s">
        <v>11</v>
      </c>
      <c r="C43" t="s">
        <v>24</v>
      </c>
      <c r="D43" t="s">
        <v>27</v>
      </c>
      <c r="E43" t="s">
        <v>14</v>
      </c>
      <c r="F43" t="s">
        <v>22</v>
      </c>
      <c r="G43">
        <v>54.65</v>
      </c>
      <c r="H43">
        <v>6</v>
      </c>
      <c r="I43">
        <v>173.36</v>
      </c>
      <c r="J43">
        <v>0</v>
      </c>
      <c r="K43">
        <v>118.71</v>
      </c>
    </row>
    <row r="44" spans="1:11" x14ac:dyDescent="0.3">
      <c r="A44" s="1">
        <v>45154</v>
      </c>
      <c r="B44" t="s">
        <v>17</v>
      </c>
      <c r="C44" t="s">
        <v>18</v>
      </c>
      <c r="D44" t="s">
        <v>25</v>
      </c>
      <c r="E44" t="s">
        <v>20</v>
      </c>
      <c r="F44" t="s">
        <v>15</v>
      </c>
      <c r="G44">
        <v>160.44</v>
      </c>
      <c r="H44">
        <v>1</v>
      </c>
      <c r="I44">
        <v>58.86</v>
      </c>
      <c r="J44">
        <v>1</v>
      </c>
      <c r="K44">
        <v>-122.7</v>
      </c>
    </row>
    <row r="45" spans="1:11" x14ac:dyDescent="0.3">
      <c r="A45" s="1">
        <v>45228</v>
      </c>
      <c r="B45" t="s">
        <v>23</v>
      </c>
      <c r="C45" t="s">
        <v>12</v>
      </c>
      <c r="D45" t="s">
        <v>27</v>
      </c>
      <c r="E45" t="s">
        <v>20</v>
      </c>
      <c r="F45" t="s">
        <v>26</v>
      </c>
      <c r="G45">
        <v>171.17</v>
      </c>
      <c r="H45">
        <v>11</v>
      </c>
      <c r="I45">
        <v>457.14</v>
      </c>
      <c r="J45">
        <v>0</v>
      </c>
      <c r="K45">
        <v>285.97000000000003</v>
      </c>
    </row>
    <row r="46" spans="1:11" x14ac:dyDescent="0.3">
      <c r="A46" s="1">
        <v>45069</v>
      </c>
      <c r="B46" t="s">
        <v>11</v>
      </c>
      <c r="C46" t="s">
        <v>12</v>
      </c>
      <c r="D46" t="s">
        <v>13</v>
      </c>
      <c r="E46" t="s">
        <v>14</v>
      </c>
      <c r="F46" t="s">
        <v>16</v>
      </c>
      <c r="G46">
        <v>42.69</v>
      </c>
      <c r="H46">
        <v>4</v>
      </c>
      <c r="I46">
        <v>254.75</v>
      </c>
      <c r="J46">
        <v>0</v>
      </c>
      <c r="K46">
        <v>212.06</v>
      </c>
    </row>
    <row r="47" spans="1:11" x14ac:dyDescent="0.3">
      <c r="A47" s="1">
        <v>45115</v>
      </c>
      <c r="B47" t="s">
        <v>17</v>
      </c>
      <c r="C47" t="s">
        <v>12</v>
      </c>
      <c r="D47" t="s">
        <v>13</v>
      </c>
      <c r="E47" t="s">
        <v>14</v>
      </c>
      <c r="F47" t="s">
        <v>26</v>
      </c>
      <c r="G47">
        <v>10.02</v>
      </c>
      <c r="H47">
        <v>16</v>
      </c>
      <c r="I47">
        <v>1539.47</v>
      </c>
      <c r="J47">
        <v>2</v>
      </c>
      <c r="K47">
        <v>1496.03</v>
      </c>
    </row>
    <row r="48" spans="1:11" x14ac:dyDescent="0.3">
      <c r="A48" s="1">
        <v>45145</v>
      </c>
      <c r="B48" t="s">
        <v>17</v>
      </c>
      <c r="C48" t="s">
        <v>29</v>
      </c>
      <c r="D48" t="s">
        <v>27</v>
      </c>
      <c r="E48" t="s">
        <v>14</v>
      </c>
      <c r="F48" t="s">
        <v>16</v>
      </c>
      <c r="G48">
        <v>53.84</v>
      </c>
      <c r="H48">
        <v>2</v>
      </c>
      <c r="I48">
        <v>198.64</v>
      </c>
      <c r="J48">
        <v>2</v>
      </c>
      <c r="K48">
        <v>76.27</v>
      </c>
    </row>
    <row r="49" spans="1:11" x14ac:dyDescent="0.3">
      <c r="A49" s="1">
        <v>44990</v>
      </c>
      <c r="B49" t="s">
        <v>11</v>
      </c>
      <c r="C49" t="s">
        <v>18</v>
      </c>
      <c r="D49" t="s">
        <v>27</v>
      </c>
      <c r="E49" t="s">
        <v>20</v>
      </c>
      <c r="F49" t="s">
        <v>16</v>
      </c>
      <c r="G49">
        <v>6.78</v>
      </c>
      <c r="H49">
        <v>3</v>
      </c>
      <c r="I49">
        <v>61.78</v>
      </c>
      <c r="J49">
        <v>2</v>
      </c>
      <c r="K49">
        <v>7.9</v>
      </c>
    </row>
    <row r="50" spans="1:11" x14ac:dyDescent="0.3">
      <c r="A50" s="1">
        <v>45172</v>
      </c>
      <c r="B50" t="s">
        <v>23</v>
      </c>
      <c r="C50" t="s">
        <v>12</v>
      </c>
      <c r="D50" t="s">
        <v>27</v>
      </c>
      <c r="E50" t="s">
        <v>14</v>
      </c>
      <c r="F50" t="s">
        <v>22</v>
      </c>
      <c r="G50">
        <v>44.06</v>
      </c>
      <c r="H50">
        <v>11</v>
      </c>
      <c r="I50">
        <v>637.62</v>
      </c>
      <c r="J50">
        <v>1</v>
      </c>
      <c r="K50">
        <v>587.35</v>
      </c>
    </row>
    <row r="51" spans="1:11" x14ac:dyDescent="0.3">
      <c r="A51" s="1">
        <v>45286</v>
      </c>
      <c r="B51" t="s">
        <v>21</v>
      </c>
      <c r="C51" t="s">
        <v>29</v>
      </c>
      <c r="D51" t="s">
        <v>19</v>
      </c>
      <c r="E51" t="s">
        <v>14</v>
      </c>
      <c r="F51" t="s">
        <v>15</v>
      </c>
      <c r="G51">
        <v>139.43</v>
      </c>
      <c r="H51">
        <v>12</v>
      </c>
      <c r="I51">
        <v>880.07</v>
      </c>
      <c r="J51">
        <v>3</v>
      </c>
      <c r="K51">
        <v>633.45000000000005</v>
      </c>
    </row>
    <row r="52" spans="1:11" x14ac:dyDescent="0.3">
      <c r="A52" s="1">
        <v>45156</v>
      </c>
      <c r="B52" t="s">
        <v>17</v>
      </c>
      <c r="C52" t="s">
        <v>29</v>
      </c>
      <c r="D52" t="s">
        <v>25</v>
      </c>
      <c r="E52" t="s">
        <v>14</v>
      </c>
      <c r="F52" t="s">
        <v>16</v>
      </c>
      <c r="G52">
        <v>156.12</v>
      </c>
      <c r="H52">
        <v>14</v>
      </c>
      <c r="I52">
        <v>1235.42</v>
      </c>
      <c r="J52">
        <v>1</v>
      </c>
      <c r="K52">
        <v>1069.8699999999999</v>
      </c>
    </row>
    <row r="53" spans="1:11" x14ac:dyDescent="0.3">
      <c r="A53" s="1">
        <v>44996</v>
      </c>
      <c r="B53" t="s">
        <v>11</v>
      </c>
      <c r="C53" t="s">
        <v>18</v>
      </c>
      <c r="D53" t="s">
        <v>28</v>
      </c>
      <c r="E53" t="s">
        <v>14</v>
      </c>
      <c r="F53" t="s">
        <v>15</v>
      </c>
      <c r="G53">
        <v>111.51</v>
      </c>
      <c r="H53">
        <v>1</v>
      </c>
      <c r="I53">
        <v>26.94</v>
      </c>
      <c r="J53">
        <v>1</v>
      </c>
      <c r="K53">
        <v>-93.93</v>
      </c>
    </row>
    <row r="54" spans="1:11" x14ac:dyDescent="0.3">
      <c r="A54" s="1">
        <v>45116</v>
      </c>
      <c r="B54" t="s">
        <v>17</v>
      </c>
      <c r="C54" t="s">
        <v>18</v>
      </c>
      <c r="D54" t="s">
        <v>28</v>
      </c>
      <c r="E54" t="s">
        <v>14</v>
      </c>
      <c r="F54" t="s">
        <v>15</v>
      </c>
      <c r="G54">
        <v>181</v>
      </c>
      <c r="H54">
        <v>17</v>
      </c>
      <c r="I54">
        <v>1607.64</v>
      </c>
      <c r="J54">
        <v>2</v>
      </c>
      <c r="K54">
        <v>1367.62</v>
      </c>
    </row>
    <row r="55" spans="1:11" x14ac:dyDescent="0.3">
      <c r="A55" s="1">
        <v>45043</v>
      </c>
      <c r="B55" t="s">
        <v>11</v>
      </c>
      <c r="C55" t="s">
        <v>18</v>
      </c>
      <c r="D55" t="s">
        <v>27</v>
      </c>
      <c r="E55" t="s">
        <v>20</v>
      </c>
      <c r="F55" t="s">
        <v>26</v>
      </c>
      <c r="G55">
        <v>145.85</v>
      </c>
      <c r="H55">
        <v>11</v>
      </c>
      <c r="I55">
        <v>1068.01</v>
      </c>
      <c r="J55">
        <v>0</v>
      </c>
      <c r="K55">
        <v>922.16</v>
      </c>
    </row>
    <row r="56" spans="1:11" x14ac:dyDescent="0.3">
      <c r="A56" s="1">
        <v>45208</v>
      </c>
      <c r="B56" t="s">
        <v>23</v>
      </c>
      <c r="C56" t="s">
        <v>18</v>
      </c>
      <c r="D56" t="s">
        <v>27</v>
      </c>
      <c r="E56" t="s">
        <v>14</v>
      </c>
      <c r="F56" t="s">
        <v>15</v>
      </c>
      <c r="G56">
        <v>158.07</v>
      </c>
      <c r="H56">
        <v>15</v>
      </c>
      <c r="I56">
        <v>818.94</v>
      </c>
      <c r="J56">
        <v>1</v>
      </c>
      <c r="K56">
        <v>631.29999999999995</v>
      </c>
    </row>
    <row r="57" spans="1:11" x14ac:dyDescent="0.3">
      <c r="A57" s="1">
        <v>44954</v>
      </c>
      <c r="B57" t="s">
        <v>21</v>
      </c>
      <c r="C57" t="s">
        <v>18</v>
      </c>
      <c r="D57" t="s">
        <v>25</v>
      </c>
      <c r="E57" t="s">
        <v>20</v>
      </c>
      <c r="F57" t="s">
        <v>26</v>
      </c>
      <c r="G57">
        <v>68.260000000000005</v>
      </c>
      <c r="H57">
        <v>1</v>
      </c>
      <c r="I57">
        <v>19.13</v>
      </c>
      <c r="J57">
        <v>0</v>
      </c>
      <c r="K57">
        <v>-49.13</v>
      </c>
    </row>
    <row r="58" spans="1:11" x14ac:dyDescent="0.3">
      <c r="A58" s="1">
        <v>45042</v>
      </c>
      <c r="B58" t="s">
        <v>11</v>
      </c>
      <c r="C58" t="s">
        <v>12</v>
      </c>
      <c r="D58" t="s">
        <v>25</v>
      </c>
      <c r="E58" t="s">
        <v>20</v>
      </c>
      <c r="F58" t="s">
        <v>16</v>
      </c>
      <c r="G58">
        <v>15.46</v>
      </c>
      <c r="H58">
        <v>13</v>
      </c>
      <c r="I58">
        <v>505.69</v>
      </c>
      <c r="J58">
        <v>3</v>
      </c>
      <c r="K58">
        <v>388.34</v>
      </c>
    </row>
    <row r="59" spans="1:11" x14ac:dyDescent="0.3">
      <c r="A59" s="1">
        <v>44999</v>
      </c>
      <c r="B59" t="s">
        <v>11</v>
      </c>
      <c r="C59" t="s">
        <v>12</v>
      </c>
      <c r="D59" t="s">
        <v>19</v>
      </c>
      <c r="E59" t="s">
        <v>14</v>
      </c>
      <c r="F59" t="s">
        <v>26</v>
      </c>
      <c r="G59">
        <v>163.63999999999999</v>
      </c>
      <c r="H59">
        <v>16</v>
      </c>
      <c r="I59">
        <v>804.26</v>
      </c>
      <c r="J59">
        <v>2</v>
      </c>
      <c r="K59">
        <v>553.48</v>
      </c>
    </row>
    <row r="60" spans="1:11" x14ac:dyDescent="0.3">
      <c r="A60" s="1">
        <v>45212</v>
      </c>
      <c r="B60" t="s">
        <v>23</v>
      </c>
      <c r="C60" t="s">
        <v>18</v>
      </c>
      <c r="D60" t="s">
        <v>27</v>
      </c>
      <c r="E60" t="s">
        <v>20</v>
      </c>
      <c r="F60" t="s">
        <v>22</v>
      </c>
      <c r="G60">
        <v>186.7</v>
      </c>
      <c r="H60">
        <v>10</v>
      </c>
      <c r="I60">
        <v>778.85</v>
      </c>
      <c r="J60">
        <v>3</v>
      </c>
      <c r="K60">
        <v>548.22</v>
      </c>
    </row>
    <row r="61" spans="1:11" x14ac:dyDescent="0.3">
      <c r="A61" s="1">
        <v>44944</v>
      </c>
      <c r="B61" t="s">
        <v>21</v>
      </c>
      <c r="C61" t="s">
        <v>24</v>
      </c>
      <c r="D61" t="s">
        <v>28</v>
      </c>
      <c r="E61" t="s">
        <v>20</v>
      </c>
      <c r="F61" t="s">
        <v>16</v>
      </c>
      <c r="G61">
        <v>103.74</v>
      </c>
      <c r="H61">
        <v>15</v>
      </c>
      <c r="I61">
        <v>1131.9000000000001</v>
      </c>
      <c r="J61">
        <v>2</v>
      </c>
      <c r="K61">
        <v>952.64</v>
      </c>
    </row>
    <row r="62" spans="1:11" x14ac:dyDescent="0.3">
      <c r="A62" s="1">
        <v>45114</v>
      </c>
      <c r="B62" t="s">
        <v>17</v>
      </c>
      <c r="C62" t="s">
        <v>29</v>
      </c>
      <c r="D62" t="s">
        <v>19</v>
      </c>
      <c r="E62" t="s">
        <v>20</v>
      </c>
      <c r="F62" t="s">
        <v>16</v>
      </c>
      <c r="G62">
        <v>90.82</v>
      </c>
      <c r="H62">
        <v>6</v>
      </c>
      <c r="I62">
        <v>68.39</v>
      </c>
      <c r="J62">
        <v>1</v>
      </c>
      <c r="K62">
        <v>-68.8</v>
      </c>
    </row>
    <row r="63" spans="1:11" x14ac:dyDescent="0.3">
      <c r="A63" s="1">
        <v>45162</v>
      </c>
      <c r="B63" t="s">
        <v>17</v>
      </c>
      <c r="C63" t="s">
        <v>24</v>
      </c>
      <c r="D63" t="s">
        <v>13</v>
      </c>
      <c r="E63" t="s">
        <v>14</v>
      </c>
      <c r="F63" t="s">
        <v>16</v>
      </c>
      <c r="G63">
        <v>99.94</v>
      </c>
      <c r="H63">
        <v>5</v>
      </c>
      <c r="I63">
        <v>303.98</v>
      </c>
      <c r="J63">
        <v>0</v>
      </c>
      <c r="K63">
        <v>204.04</v>
      </c>
    </row>
    <row r="64" spans="1:11" x14ac:dyDescent="0.3">
      <c r="A64" s="1">
        <v>45072</v>
      </c>
      <c r="B64" t="s">
        <v>11</v>
      </c>
      <c r="C64" t="s">
        <v>18</v>
      </c>
      <c r="D64" t="s">
        <v>28</v>
      </c>
      <c r="E64" t="s">
        <v>20</v>
      </c>
      <c r="F64" t="s">
        <v>16</v>
      </c>
      <c r="G64">
        <v>117.4</v>
      </c>
      <c r="H64">
        <v>1</v>
      </c>
      <c r="I64">
        <v>60.83</v>
      </c>
      <c r="J64">
        <v>0</v>
      </c>
      <c r="K64">
        <v>-56.57</v>
      </c>
    </row>
    <row r="65" spans="1:11" x14ac:dyDescent="0.3">
      <c r="A65" s="1">
        <v>45237</v>
      </c>
      <c r="B65" t="s">
        <v>23</v>
      </c>
      <c r="C65" t="s">
        <v>29</v>
      </c>
      <c r="D65" t="s">
        <v>13</v>
      </c>
      <c r="E65" t="s">
        <v>20</v>
      </c>
      <c r="F65" t="s">
        <v>26</v>
      </c>
      <c r="G65">
        <v>37.729999999999997</v>
      </c>
      <c r="H65">
        <v>8</v>
      </c>
      <c r="I65">
        <v>542.01</v>
      </c>
      <c r="J65">
        <v>1</v>
      </c>
      <c r="K65">
        <v>476.75</v>
      </c>
    </row>
    <row r="66" spans="1:11" x14ac:dyDescent="0.3">
      <c r="A66" s="1">
        <v>45286</v>
      </c>
      <c r="B66" t="s">
        <v>21</v>
      </c>
      <c r="C66" t="s">
        <v>12</v>
      </c>
      <c r="D66" t="s">
        <v>28</v>
      </c>
      <c r="E66" t="s">
        <v>14</v>
      </c>
      <c r="F66" t="s">
        <v>26</v>
      </c>
      <c r="G66">
        <v>137.83000000000001</v>
      </c>
      <c r="H66">
        <v>5</v>
      </c>
      <c r="I66">
        <v>344.34</v>
      </c>
      <c r="J66">
        <v>2</v>
      </c>
      <c r="K66">
        <v>172.81</v>
      </c>
    </row>
    <row r="67" spans="1:11" x14ac:dyDescent="0.3">
      <c r="A67" s="1">
        <v>45020</v>
      </c>
      <c r="B67" t="s">
        <v>11</v>
      </c>
      <c r="C67" t="s">
        <v>29</v>
      </c>
      <c r="D67" t="s">
        <v>19</v>
      </c>
      <c r="E67" t="s">
        <v>20</v>
      </c>
      <c r="F67" t="s">
        <v>22</v>
      </c>
      <c r="G67">
        <v>57.25</v>
      </c>
      <c r="H67">
        <v>1</v>
      </c>
      <c r="I67">
        <v>22.21</v>
      </c>
      <c r="J67">
        <v>0</v>
      </c>
      <c r="K67">
        <v>-35.04</v>
      </c>
    </row>
    <row r="68" spans="1:11" x14ac:dyDescent="0.3">
      <c r="A68" s="1">
        <v>45245</v>
      </c>
      <c r="B68" t="s">
        <v>23</v>
      </c>
      <c r="C68" t="s">
        <v>24</v>
      </c>
      <c r="D68" t="s">
        <v>25</v>
      </c>
      <c r="E68" t="s">
        <v>20</v>
      </c>
      <c r="F68" t="s">
        <v>15</v>
      </c>
      <c r="G68">
        <v>143.36000000000001</v>
      </c>
      <c r="H68">
        <v>7</v>
      </c>
      <c r="I68">
        <v>530.52</v>
      </c>
      <c r="J68">
        <v>2</v>
      </c>
      <c r="K68">
        <v>318.77</v>
      </c>
    </row>
    <row r="69" spans="1:11" x14ac:dyDescent="0.3">
      <c r="A69" s="1">
        <v>44993</v>
      </c>
      <c r="B69" t="s">
        <v>11</v>
      </c>
      <c r="C69" t="s">
        <v>12</v>
      </c>
      <c r="D69" t="s">
        <v>13</v>
      </c>
      <c r="E69" t="s">
        <v>14</v>
      </c>
      <c r="F69" t="s">
        <v>26</v>
      </c>
      <c r="G69">
        <v>108.15</v>
      </c>
      <c r="H69">
        <v>10</v>
      </c>
      <c r="I69">
        <v>837.7</v>
      </c>
      <c r="J69">
        <v>0</v>
      </c>
      <c r="K69">
        <v>729.55</v>
      </c>
    </row>
    <row r="70" spans="1:11" x14ac:dyDescent="0.3">
      <c r="A70" s="1">
        <v>44961</v>
      </c>
      <c r="B70" t="s">
        <v>21</v>
      </c>
      <c r="C70" t="s">
        <v>29</v>
      </c>
      <c r="D70" t="s">
        <v>27</v>
      </c>
      <c r="E70" t="s">
        <v>20</v>
      </c>
      <c r="F70" t="s">
        <v>15</v>
      </c>
      <c r="G70">
        <v>39.36</v>
      </c>
      <c r="H70">
        <v>9</v>
      </c>
      <c r="I70">
        <v>528.12</v>
      </c>
      <c r="J70">
        <v>2</v>
      </c>
      <c r="K70">
        <v>421.39</v>
      </c>
    </row>
    <row r="71" spans="1:11" x14ac:dyDescent="0.3">
      <c r="A71" s="1">
        <v>45025</v>
      </c>
      <c r="B71" t="s">
        <v>11</v>
      </c>
      <c r="C71" t="s">
        <v>24</v>
      </c>
      <c r="D71" t="s">
        <v>28</v>
      </c>
      <c r="E71" t="s">
        <v>20</v>
      </c>
      <c r="F71" t="s">
        <v>22</v>
      </c>
      <c r="G71">
        <v>126.65</v>
      </c>
      <c r="H71">
        <v>7</v>
      </c>
      <c r="I71">
        <v>433.64</v>
      </c>
      <c r="J71">
        <v>1</v>
      </c>
      <c r="K71">
        <v>287.99</v>
      </c>
    </row>
    <row r="72" spans="1:11" x14ac:dyDescent="0.3">
      <c r="A72" s="1">
        <v>45007</v>
      </c>
      <c r="B72" t="s">
        <v>11</v>
      </c>
      <c r="C72" t="s">
        <v>24</v>
      </c>
      <c r="D72" t="s">
        <v>19</v>
      </c>
      <c r="E72" t="s">
        <v>14</v>
      </c>
      <c r="F72" t="s">
        <v>16</v>
      </c>
      <c r="G72">
        <v>91.17</v>
      </c>
      <c r="H72">
        <v>16</v>
      </c>
      <c r="I72">
        <v>1450.85</v>
      </c>
      <c r="J72">
        <v>3</v>
      </c>
      <c r="K72">
        <v>1210.4000000000001</v>
      </c>
    </row>
    <row r="73" spans="1:11" x14ac:dyDescent="0.3">
      <c r="A73" s="1">
        <v>45200</v>
      </c>
      <c r="B73" t="s">
        <v>23</v>
      </c>
      <c r="C73" t="s">
        <v>29</v>
      </c>
      <c r="D73" t="s">
        <v>13</v>
      </c>
      <c r="E73" t="s">
        <v>14</v>
      </c>
      <c r="F73" t="s">
        <v>26</v>
      </c>
      <c r="G73">
        <v>133.72</v>
      </c>
      <c r="H73">
        <v>19</v>
      </c>
      <c r="I73">
        <v>1300.03</v>
      </c>
      <c r="J73">
        <v>0</v>
      </c>
      <c r="K73">
        <v>1166.31</v>
      </c>
    </row>
    <row r="74" spans="1:11" x14ac:dyDescent="0.3">
      <c r="A74" s="1">
        <v>45092</v>
      </c>
      <c r="B74" t="s">
        <v>17</v>
      </c>
      <c r="C74" t="s">
        <v>29</v>
      </c>
      <c r="D74" t="s">
        <v>25</v>
      </c>
      <c r="E74" t="s">
        <v>20</v>
      </c>
      <c r="F74" t="s">
        <v>15</v>
      </c>
      <c r="G74">
        <v>54.66</v>
      </c>
      <c r="H74">
        <v>18</v>
      </c>
      <c r="I74">
        <v>873.22</v>
      </c>
      <c r="J74">
        <v>0</v>
      </c>
      <c r="K74">
        <v>818.56</v>
      </c>
    </row>
    <row r="75" spans="1:11" x14ac:dyDescent="0.3">
      <c r="A75" s="1">
        <v>44941</v>
      </c>
      <c r="B75" t="s">
        <v>21</v>
      </c>
      <c r="C75" t="s">
        <v>24</v>
      </c>
      <c r="D75" t="s">
        <v>19</v>
      </c>
      <c r="E75" t="s">
        <v>14</v>
      </c>
      <c r="F75" t="s">
        <v>26</v>
      </c>
      <c r="G75">
        <v>10.16</v>
      </c>
      <c r="H75">
        <v>17</v>
      </c>
      <c r="I75">
        <v>1330.41</v>
      </c>
      <c r="J75">
        <v>3</v>
      </c>
      <c r="K75">
        <v>1196.3599999999999</v>
      </c>
    </row>
    <row r="76" spans="1:11" x14ac:dyDescent="0.3">
      <c r="A76" s="1">
        <v>45039</v>
      </c>
      <c r="B76" t="s">
        <v>11</v>
      </c>
      <c r="C76" t="s">
        <v>29</v>
      </c>
      <c r="D76" t="s">
        <v>28</v>
      </c>
      <c r="E76" t="s">
        <v>20</v>
      </c>
      <c r="F76" t="s">
        <v>15</v>
      </c>
      <c r="G76">
        <v>96.95</v>
      </c>
      <c r="H76">
        <v>10</v>
      </c>
      <c r="I76">
        <v>175.5</v>
      </c>
      <c r="J76">
        <v>1</v>
      </c>
      <c r="K76">
        <v>54.34</v>
      </c>
    </row>
    <row r="77" spans="1:11" x14ac:dyDescent="0.3">
      <c r="A77" s="1">
        <v>45030</v>
      </c>
      <c r="B77" t="s">
        <v>11</v>
      </c>
      <c r="C77" t="s">
        <v>24</v>
      </c>
      <c r="D77" t="s">
        <v>27</v>
      </c>
      <c r="E77" t="s">
        <v>20</v>
      </c>
      <c r="F77" t="s">
        <v>15</v>
      </c>
      <c r="G77">
        <v>148.65</v>
      </c>
      <c r="H77">
        <v>1</v>
      </c>
      <c r="I77">
        <v>15.39</v>
      </c>
      <c r="J77">
        <v>0</v>
      </c>
      <c r="K77">
        <v>-133.26</v>
      </c>
    </row>
    <row r="78" spans="1:11" x14ac:dyDescent="0.3">
      <c r="A78" s="1">
        <v>44937</v>
      </c>
      <c r="B78" t="s">
        <v>21</v>
      </c>
      <c r="C78" t="s">
        <v>29</v>
      </c>
      <c r="D78" t="s">
        <v>13</v>
      </c>
      <c r="E78" t="s">
        <v>14</v>
      </c>
      <c r="F78" t="s">
        <v>16</v>
      </c>
      <c r="G78">
        <v>170.38</v>
      </c>
      <c r="H78">
        <v>4</v>
      </c>
      <c r="I78">
        <v>178.82</v>
      </c>
      <c r="J78">
        <v>3</v>
      </c>
      <c r="K78">
        <v>-117.21</v>
      </c>
    </row>
    <row r="79" spans="1:11" x14ac:dyDescent="0.3">
      <c r="A79" s="1">
        <v>45262</v>
      </c>
      <c r="B79" t="s">
        <v>21</v>
      </c>
      <c r="C79" t="s">
        <v>12</v>
      </c>
      <c r="D79" t="s">
        <v>13</v>
      </c>
      <c r="E79" t="s">
        <v>20</v>
      </c>
      <c r="F79" t="s">
        <v>16</v>
      </c>
      <c r="G79">
        <v>151.57</v>
      </c>
      <c r="H79">
        <v>14</v>
      </c>
      <c r="I79">
        <v>1361.1</v>
      </c>
      <c r="J79">
        <v>0</v>
      </c>
      <c r="K79">
        <v>1209.53</v>
      </c>
    </row>
    <row r="80" spans="1:11" x14ac:dyDescent="0.3">
      <c r="A80" s="1">
        <v>45287</v>
      </c>
      <c r="B80" t="s">
        <v>21</v>
      </c>
      <c r="C80" t="s">
        <v>12</v>
      </c>
      <c r="D80" t="s">
        <v>25</v>
      </c>
      <c r="E80" t="s">
        <v>20</v>
      </c>
      <c r="F80" t="s">
        <v>16</v>
      </c>
      <c r="G80">
        <v>199</v>
      </c>
      <c r="H80">
        <v>18</v>
      </c>
      <c r="I80">
        <v>1549.63</v>
      </c>
      <c r="J80">
        <v>1</v>
      </c>
      <c r="K80">
        <v>1335.92</v>
      </c>
    </row>
    <row r="81" spans="1:11" x14ac:dyDescent="0.3">
      <c r="A81" s="1">
        <v>45191</v>
      </c>
      <c r="B81" t="s">
        <v>23</v>
      </c>
      <c r="C81" t="s">
        <v>12</v>
      </c>
      <c r="D81" t="s">
        <v>27</v>
      </c>
      <c r="E81" t="s">
        <v>14</v>
      </c>
      <c r="F81" t="s">
        <v>22</v>
      </c>
      <c r="G81">
        <v>36.369999999999997</v>
      </c>
      <c r="H81">
        <v>10</v>
      </c>
      <c r="I81">
        <v>922.73</v>
      </c>
      <c r="J81">
        <v>1</v>
      </c>
      <c r="K81">
        <v>858.65</v>
      </c>
    </row>
    <row r="82" spans="1:11" x14ac:dyDescent="0.3">
      <c r="A82" s="1">
        <v>45053</v>
      </c>
      <c r="B82" t="s">
        <v>11</v>
      </c>
      <c r="C82" t="s">
        <v>29</v>
      </c>
      <c r="D82" t="s">
        <v>19</v>
      </c>
      <c r="E82" t="s">
        <v>20</v>
      </c>
      <c r="F82" t="s">
        <v>22</v>
      </c>
      <c r="G82">
        <v>76.34</v>
      </c>
      <c r="H82">
        <v>8</v>
      </c>
      <c r="I82">
        <v>594.72</v>
      </c>
      <c r="J82">
        <v>0</v>
      </c>
      <c r="K82">
        <v>518.38</v>
      </c>
    </row>
    <row r="83" spans="1:11" x14ac:dyDescent="0.3">
      <c r="A83" s="1">
        <v>44999</v>
      </c>
      <c r="B83" t="s">
        <v>11</v>
      </c>
      <c r="C83" t="s">
        <v>29</v>
      </c>
      <c r="D83" t="s">
        <v>13</v>
      </c>
      <c r="E83" t="s">
        <v>20</v>
      </c>
      <c r="F83" t="s">
        <v>15</v>
      </c>
      <c r="G83">
        <v>149.21</v>
      </c>
      <c r="H83">
        <v>20</v>
      </c>
      <c r="I83">
        <v>1197.6199999999999</v>
      </c>
      <c r="J83">
        <v>1</v>
      </c>
      <c r="K83">
        <v>1003.31</v>
      </c>
    </row>
    <row r="84" spans="1:11" x14ac:dyDescent="0.3">
      <c r="A84" s="1">
        <v>45146</v>
      </c>
      <c r="B84" t="s">
        <v>17</v>
      </c>
      <c r="C84" t="s">
        <v>29</v>
      </c>
      <c r="D84" t="s">
        <v>25</v>
      </c>
      <c r="E84" t="s">
        <v>20</v>
      </c>
      <c r="F84" t="s">
        <v>16</v>
      </c>
      <c r="G84">
        <v>29.15</v>
      </c>
      <c r="H84">
        <v>1</v>
      </c>
      <c r="I84">
        <v>29.13</v>
      </c>
      <c r="J84">
        <v>0</v>
      </c>
      <c r="K84">
        <v>-0.02</v>
      </c>
    </row>
    <row r="85" spans="1:11" x14ac:dyDescent="0.3">
      <c r="A85" s="1">
        <v>44969</v>
      </c>
      <c r="B85" t="s">
        <v>21</v>
      </c>
      <c r="C85" t="s">
        <v>29</v>
      </c>
      <c r="D85" t="s">
        <v>28</v>
      </c>
      <c r="E85" t="s">
        <v>14</v>
      </c>
      <c r="F85" t="s">
        <v>26</v>
      </c>
      <c r="G85">
        <v>31.83</v>
      </c>
      <c r="H85">
        <v>6</v>
      </c>
      <c r="I85">
        <v>183.98</v>
      </c>
      <c r="J85">
        <v>2</v>
      </c>
      <c r="K85">
        <v>118.74</v>
      </c>
    </row>
    <row r="86" spans="1:11" x14ac:dyDescent="0.3">
      <c r="A86" s="1">
        <v>45175</v>
      </c>
      <c r="B86" t="s">
        <v>23</v>
      </c>
      <c r="C86" t="s">
        <v>29</v>
      </c>
      <c r="D86" t="s">
        <v>13</v>
      </c>
      <c r="E86" t="s">
        <v>20</v>
      </c>
      <c r="F86" t="s">
        <v>26</v>
      </c>
      <c r="G86">
        <v>190.96</v>
      </c>
      <c r="H86">
        <v>17</v>
      </c>
      <c r="I86">
        <v>573.24</v>
      </c>
      <c r="J86">
        <v>2</v>
      </c>
      <c r="K86">
        <v>303.69</v>
      </c>
    </row>
    <row r="87" spans="1:11" x14ac:dyDescent="0.3">
      <c r="A87" s="1">
        <v>44988</v>
      </c>
      <c r="B87" t="s">
        <v>11</v>
      </c>
      <c r="C87" t="s">
        <v>24</v>
      </c>
      <c r="D87" t="s">
        <v>13</v>
      </c>
      <c r="E87" t="s">
        <v>20</v>
      </c>
      <c r="F87" t="s">
        <v>15</v>
      </c>
      <c r="G87">
        <v>136.53</v>
      </c>
      <c r="H87">
        <v>8</v>
      </c>
      <c r="I87">
        <v>511.42</v>
      </c>
      <c r="J87">
        <v>3</v>
      </c>
      <c r="K87">
        <v>301.51</v>
      </c>
    </row>
    <row r="88" spans="1:11" x14ac:dyDescent="0.3">
      <c r="A88" s="1">
        <v>45080</v>
      </c>
      <c r="B88" t="s">
        <v>17</v>
      </c>
      <c r="C88" t="s">
        <v>12</v>
      </c>
      <c r="D88" t="s">
        <v>28</v>
      </c>
      <c r="E88" t="s">
        <v>20</v>
      </c>
      <c r="F88" t="s">
        <v>26</v>
      </c>
      <c r="G88">
        <v>145.94999999999999</v>
      </c>
      <c r="H88">
        <v>6</v>
      </c>
      <c r="I88">
        <v>586.96</v>
      </c>
      <c r="J88">
        <v>0</v>
      </c>
      <c r="K88">
        <v>441.01</v>
      </c>
    </row>
    <row r="89" spans="1:11" x14ac:dyDescent="0.3">
      <c r="A89" s="1">
        <v>45287</v>
      </c>
      <c r="B89" t="s">
        <v>21</v>
      </c>
      <c r="C89" t="s">
        <v>12</v>
      </c>
      <c r="D89" t="s">
        <v>25</v>
      </c>
      <c r="E89" t="s">
        <v>14</v>
      </c>
      <c r="F89" t="s">
        <v>15</v>
      </c>
      <c r="G89">
        <v>166.6</v>
      </c>
      <c r="H89">
        <v>5</v>
      </c>
      <c r="I89">
        <v>247.76</v>
      </c>
      <c r="J89">
        <v>3</v>
      </c>
      <c r="K89">
        <v>61.62</v>
      </c>
    </row>
    <row r="90" spans="1:11" x14ac:dyDescent="0.3">
      <c r="A90" s="1">
        <v>45002</v>
      </c>
      <c r="B90" t="s">
        <v>11</v>
      </c>
      <c r="C90" t="s">
        <v>18</v>
      </c>
      <c r="D90" t="s">
        <v>19</v>
      </c>
      <c r="E90" t="s">
        <v>14</v>
      </c>
      <c r="F90" t="s">
        <v>22</v>
      </c>
      <c r="G90">
        <v>5.33</v>
      </c>
      <c r="H90">
        <v>7</v>
      </c>
      <c r="I90">
        <v>467.93</v>
      </c>
      <c r="J90">
        <v>2</v>
      </c>
      <c r="K90">
        <v>404.27</v>
      </c>
    </row>
    <row r="91" spans="1:11" x14ac:dyDescent="0.3">
      <c r="A91" s="1">
        <v>44954</v>
      </c>
      <c r="B91" t="s">
        <v>21</v>
      </c>
      <c r="C91" t="s">
        <v>12</v>
      </c>
      <c r="D91" t="s">
        <v>27</v>
      </c>
      <c r="E91" t="s">
        <v>20</v>
      </c>
      <c r="F91" t="s">
        <v>15</v>
      </c>
      <c r="G91">
        <v>11.79</v>
      </c>
      <c r="H91">
        <v>9</v>
      </c>
      <c r="I91">
        <v>130.72</v>
      </c>
      <c r="J91">
        <v>2</v>
      </c>
      <c r="K91">
        <v>38.65</v>
      </c>
    </row>
    <row r="92" spans="1:11" x14ac:dyDescent="0.3">
      <c r="A92" s="1">
        <v>45107</v>
      </c>
      <c r="B92" t="s">
        <v>17</v>
      </c>
      <c r="C92" t="s">
        <v>29</v>
      </c>
      <c r="D92" t="s">
        <v>19</v>
      </c>
      <c r="E92" t="s">
        <v>20</v>
      </c>
      <c r="F92" t="s">
        <v>16</v>
      </c>
      <c r="G92">
        <v>178.15</v>
      </c>
      <c r="H92">
        <v>7</v>
      </c>
      <c r="I92">
        <v>625.97</v>
      </c>
      <c r="J92">
        <v>2</v>
      </c>
      <c r="K92">
        <v>372.88</v>
      </c>
    </row>
    <row r="93" spans="1:11" x14ac:dyDescent="0.3">
      <c r="A93" s="1">
        <v>44952</v>
      </c>
      <c r="B93" t="s">
        <v>21</v>
      </c>
      <c r="C93" t="s">
        <v>18</v>
      </c>
      <c r="D93" t="s">
        <v>13</v>
      </c>
      <c r="E93" t="s">
        <v>20</v>
      </c>
      <c r="F93" t="s">
        <v>15</v>
      </c>
      <c r="G93">
        <v>30.59</v>
      </c>
      <c r="H93">
        <v>3</v>
      </c>
      <c r="I93">
        <v>131.13999999999999</v>
      </c>
      <c r="J93">
        <v>2</v>
      </c>
      <c r="K93">
        <v>44.18</v>
      </c>
    </row>
    <row r="94" spans="1:11" x14ac:dyDescent="0.3">
      <c r="A94" s="1">
        <v>45069</v>
      </c>
      <c r="B94" t="s">
        <v>11</v>
      </c>
      <c r="C94" t="s">
        <v>29</v>
      </c>
      <c r="D94" t="s">
        <v>25</v>
      </c>
      <c r="E94" t="s">
        <v>14</v>
      </c>
      <c r="F94" t="s">
        <v>16</v>
      </c>
      <c r="G94">
        <v>59.56</v>
      </c>
      <c r="H94">
        <v>7</v>
      </c>
      <c r="I94">
        <v>599.69000000000005</v>
      </c>
      <c r="J94">
        <v>0</v>
      </c>
      <c r="K94">
        <v>540.13</v>
      </c>
    </row>
    <row r="95" spans="1:11" x14ac:dyDescent="0.3">
      <c r="A95" s="1">
        <v>45266</v>
      </c>
      <c r="B95" t="s">
        <v>21</v>
      </c>
      <c r="C95" t="s">
        <v>29</v>
      </c>
      <c r="D95" t="s">
        <v>25</v>
      </c>
      <c r="E95" t="s">
        <v>14</v>
      </c>
      <c r="F95" t="s">
        <v>15</v>
      </c>
      <c r="G95">
        <v>10.53</v>
      </c>
      <c r="H95">
        <v>10</v>
      </c>
      <c r="I95">
        <v>143.28</v>
      </c>
      <c r="J95">
        <v>3</v>
      </c>
      <c r="K95">
        <v>104.27</v>
      </c>
    </row>
    <row r="96" spans="1:11" x14ac:dyDescent="0.3">
      <c r="A96" s="1">
        <v>45277</v>
      </c>
      <c r="B96" t="s">
        <v>21</v>
      </c>
      <c r="C96" t="s">
        <v>12</v>
      </c>
      <c r="D96" t="s">
        <v>27</v>
      </c>
      <c r="E96" t="s">
        <v>20</v>
      </c>
      <c r="F96" t="s">
        <v>16</v>
      </c>
      <c r="G96">
        <v>90.74</v>
      </c>
      <c r="H96">
        <v>11</v>
      </c>
      <c r="I96">
        <v>888.02</v>
      </c>
      <c r="J96">
        <v>1</v>
      </c>
      <c r="K96">
        <v>770.53</v>
      </c>
    </row>
    <row r="97" spans="1:11" x14ac:dyDescent="0.3">
      <c r="A97" s="1">
        <v>45281</v>
      </c>
      <c r="B97" t="s">
        <v>21</v>
      </c>
      <c r="C97" t="s">
        <v>29</v>
      </c>
      <c r="D97" t="s">
        <v>25</v>
      </c>
      <c r="E97" t="s">
        <v>20</v>
      </c>
      <c r="F97" t="s">
        <v>26</v>
      </c>
      <c r="G97">
        <v>10.87</v>
      </c>
      <c r="H97">
        <v>8</v>
      </c>
      <c r="I97">
        <v>455.92</v>
      </c>
      <c r="J97">
        <v>0</v>
      </c>
      <c r="K97">
        <v>445.05</v>
      </c>
    </row>
    <row r="98" spans="1:11" x14ac:dyDescent="0.3">
      <c r="A98" s="1">
        <v>45171</v>
      </c>
      <c r="B98" t="s">
        <v>23</v>
      </c>
      <c r="C98" t="s">
        <v>12</v>
      </c>
      <c r="D98" t="s">
        <v>28</v>
      </c>
      <c r="E98" t="s">
        <v>20</v>
      </c>
      <c r="F98" t="s">
        <v>16</v>
      </c>
      <c r="G98">
        <v>40.01</v>
      </c>
      <c r="H98">
        <v>14</v>
      </c>
      <c r="I98">
        <v>535.66</v>
      </c>
      <c r="J98">
        <v>3</v>
      </c>
      <c r="K98">
        <v>479.85</v>
      </c>
    </row>
    <row r="99" spans="1:11" x14ac:dyDescent="0.3">
      <c r="A99" s="1">
        <v>44994</v>
      </c>
      <c r="B99" t="s">
        <v>11</v>
      </c>
      <c r="C99" t="s">
        <v>29</v>
      </c>
      <c r="D99" t="s">
        <v>13</v>
      </c>
      <c r="E99" t="s">
        <v>14</v>
      </c>
      <c r="F99" t="s">
        <v>22</v>
      </c>
      <c r="G99">
        <v>175.43</v>
      </c>
      <c r="H99">
        <v>7</v>
      </c>
      <c r="I99">
        <v>576.48</v>
      </c>
      <c r="J99">
        <v>2</v>
      </c>
      <c r="K99">
        <v>356.64</v>
      </c>
    </row>
    <row r="100" spans="1:11" x14ac:dyDescent="0.3">
      <c r="A100" s="1">
        <v>45099</v>
      </c>
      <c r="B100" t="s">
        <v>17</v>
      </c>
      <c r="C100" t="s">
        <v>12</v>
      </c>
      <c r="D100" t="s">
        <v>19</v>
      </c>
      <c r="E100" t="s">
        <v>20</v>
      </c>
      <c r="F100" t="s">
        <v>16</v>
      </c>
      <c r="G100">
        <v>110.96</v>
      </c>
      <c r="H100">
        <v>12</v>
      </c>
      <c r="I100">
        <v>1187.7</v>
      </c>
      <c r="J100">
        <v>0</v>
      </c>
      <c r="K100">
        <v>1076.74</v>
      </c>
    </row>
    <row r="101" spans="1:11" x14ac:dyDescent="0.3">
      <c r="A101" s="1">
        <v>45027</v>
      </c>
      <c r="B101" t="s">
        <v>11</v>
      </c>
      <c r="C101" t="s">
        <v>24</v>
      </c>
      <c r="D101" t="s">
        <v>28</v>
      </c>
      <c r="E101" t="s">
        <v>20</v>
      </c>
      <c r="F101" t="s">
        <v>16</v>
      </c>
      <c r="G101">
        <v>148.37</v>
      </c>
      <c r="H101">
        <v>20</v>
      </c>
      <c r="I101">
        <v>360.12</v>
      </c>
      <c r="J101">
        <v>0</v>
      </c>
      <c r="K101">
        <v>211.75</v>
      </c>
    </row>
    <row r="102" spans="1:11" x14ac:dyDescent="0.3">
      <c r="A102" s="1">
        <v>45229</v>
      </c>
      <c r="B102" t="s">
        <v>23</v>
      </c>
      <c r="C102" t="s">
        <v>12</v>
      </c>
      <c r="D102" t="s">
        <v>28</v>
      </c>
      <c r="E102" t="s">
        <v>20</v>
      </c>
      <c r="F102" t="s">
        <v>22</v>
      </c>
      <c r="G102">
        <v>93.1</v>
      </c>
      <c r="H102">
        <v>3</v>
      </c>
      <c r="I102">
        <v>271.02</v>
      </c>
      <c r="J102">
        <v>3</v>
      </c>
      <c r="K102">
        <v>42.37</v>
      </c>
    </row>
    <row r="103" spans="1:11" x14ac:dyDescent="0.3">
      <c r="A103" s="1">
        <v>45193</v>
      </c>
      <c r="B103" t="s">
        <v>23</v>
      </c>
      <c r="C103" t="s">
        <v>24</v>
      </c>
      <c r="D103" t="s">
        <v>25</v>
      </c>
      <c r="E103" t="s">
        <v>20</v>
      </c>
      <c r="F103" t="s">
        <v>15</v>
      </c>
      <c r="G103">
        <v>150.12</v>
      </c>
      <c r="H103">
        <v>7</v>
      </c>
      <c r="I103">
        <v>161.88</v>
      </c>
      <c r="J103">
        <v>1</v>
      </c>
      <c r="K103">
        <v>-4.71</v>
      </c>
    </row>
    <row r="104" spans="1:11" x14ac:dyDescent="0.3">
      <c r="A104" s="1">
        <v>45033</v>
      </c>
      <c r="B104" t="s">
        <v>11</v>
      </c>
      <c r="C104" t="s">
        <v>24</v>
      </c>
      <c r="D104" t="s">
        <v>28</v>
      </c>
      <c r="E104" t="s">
        <v>20</v>
      </c>
      <c r="F104" t="s">
        <v>16</v>
      </c>
      <c r="G104">
        <v>162.22</v>
      </c>
      <c r="H104">
        <v>12</v>
      </c>
      <c r="I104">
        <v>1142.3699999999999</v>
      </c>
      <c r="J104">
        <v>3</v>
      </c>
      <c r="K104">
        <v>964.11</v>
      </c>
    </row>
    <row r="105" spans="1:11" x14ac:dyDescent="0.3">
      <c r="A105" s="1">
        <v>45143</v>
      </c>
      <c r="B105" t="s">
        <v>17</v>
      </c>
      <c r="C105" t="s">
        <v>12</v>
      </c>
      <c r="D105" t="s">
        <v>25</v>
      </c>
      <c r="E105" t="s">
        <v>20</v>
      </c>
      <c r="F105" t="s">
        <v>15</v>
      </c>
      <c r="G105">
        <v>31.78</v>
      </c>
      <c r="H105">
        <v>3</v>
      </c>
      <c r="I105">
        <v>296.83999999999997</v>
      </c>
      <c r="J105">
        <v>0</v>
      </c>
      <c r="K105">
        <v>265.06</v>
      </c>
    </row>
    <row r="106" spans="1:11" x14ac:dyDescent="0.3">
      <c r="A106" s="1">
        <v>45143</v>
      </c>
      <c r="B106" t="s">
        <v>17</v>
      </c>
      <c r="C106" t="s">
        <v>18</v>
      </c>
      <c r="D106" t="s">
        <v>19</v>
      </c>
      <c r="E106" t="s">
        <v>20</v>
      </c>
      <c r="F106" t="s">
        <v>26</v>
      </c>
      <c r="G106">
        <v>113.12</v>
      </c>
      <c r="H106">
        <v>2</v>
      </c>
      <c r="I106">
        <v>83.98</v>
      </c>
      <c r="J106">
        <v>0</v>
      </c>
      <c r="K106">
        <v>-29.14</v>
      </c>
    </row>
    <row r="107" spans="1:11" x14ac:dyDescent="0.3">
      <c r="A107" s="1">
        <v>45289</v>
      </c>
      <c r="B107" t="s">
        <v>21</v>
      </c>
      <c r="C107" t="s">
        <v>12</v>
      </c>
      <c r="D107" t="s">
        <v>19</v>
      </c>
      <c r="E107" t="s">
        <v>20</v>
      </c>
      <c r="F107" t="s">
        <v>26</v>
      </c>
      <c r="G107">
        <v>141.12</v>
      </c>
      <c r="H107">
        <v>1</v>
      </c>
      <c r="I107">
        <v>19.510000000000002</v>
      </c>
      <c r="J107">
        <v>1</v>
      </c>
      <c r="K107">
        <v>-140.19</v>
      </c>
    </row>
    <row r="108" spans="1:11" x14ac:dyDescent="0.3">
      <c r="A108" s="1">
        <v>45126</v>
      </c>
      <c r="B108" t="s">
        <v>17</v>
      </c>
      <c r="C108" t="s">
        <v>12</v>
      </c>
      <c r="D108" t="s">
        <v>19</v>
      </c>
      <c r="E108" t="s">
        <v>14</v>
      </c>
      <c r="F108" t="s">
        <v>22</v>
      </c>
      <c r="G108">
        <v>144.26</v>
      </c>
      <c r="H108">
        <v>19</v>
      </c>
      <c r="I108">
        <v>252.73</v>
      </c>
      <c r="J108">
        <v>1</v>
      </c>
      <c r="K108">
        <v>87.28</v>
      </c>
    </row>
    <row r="109" spans="1:11" x14ac:dyDescent="0.3">
      <c r="A109" s="1">
        <v>45067</v>
      </c>
      <c r="B109" t="s">
        <v>11</v>
      </c>
      <c r="C109" t="s">
        <v>29</v>
      </c>
      <c r="D109" t="s">
        <v>13</v>
      </c>
      <c r="E109" t="s">
        <v>20</v>
      </c>
      <c r="F109" t="s">
        <v>16</v>
      </c>
      <c r="G109">
        <v>171.85</v>
      </c>
      <c r="H109">
        <v>8</v>
      </c>
      <c r="I109">
        <v>475.51</v>
      </c>
      <c r="J109">
        <v>2</v>
      </c>
      <c r="K109">
        <v>207.16</v>
      </c>
    </row>
    <row r="110" spans="1:11" x14ac:dyDescent="0.3">
      <c r="A110" s="1">
        <v>45243</v>
      </c>
      <c r="B110" t="s">
        <v>23</v>
      </c>
      <c r="C110" t="s">
        <v>12</v>
      </c>
      <c r="D110" t="s">
        <v>19</v>
      </c>
      <c r="E110" t="s">
        <v>20</v>
      </c>
      <c r="F110" t="s">
        <v>26</v>
      </c>
      <c r="G110">
        <v>115.97</v>
      </c>
      <c r="H110">
        <v>10</v>
      </c>
      <c r="I110">
        <v>573.92999999999995</v>
      </c>
      <c r="J110">
        <v>1</v>
      </c>
      <c r="K110">
        <v>421.82</v>
      </c>
    </row>
    <row r="111" spans="1:11" x14ac:dyDescent="0.3">
      <c r="A111" s="1">
        <v>45290</v>
      </c>
      <c r="B111" t="s">
        <v>21</v>
      </c>
      <c r="C111" t="s">
        <v>12</v>
      </c>
      <c r="D111" t="s">
        <v>13</v>
      </c>
      <c r="E111" t="s">
        <v>20</v>
      </c>
      <c r="F111" t="s">
        <v>22</v>
      </c>
      <c r="G111">
        <v>54.32</v>
      </c>
      <c r="H111">
        <v>12</v>
      </c>
      <c r="I111">
        <v>770.89</v>
      </c>
      <c r="J111">
        <v>1</v>
      </c>
      <c r="K111">
        <v>673.68</v>
      </c>
    </row>
    <row r="112" spans="1:11" x14ac:dyDescent="0.3">
      <c r="A112" s="1">
        <v>45001</v>
      </c>
      <c r="B112" t="s">
        <v>11</v>
      </c>
      <c r="C112" t="s">
        <v>18</v>
      </c>
      <c r="D112" t="s">
        <v>28</v>
      </c>
      <c r="E112" t="s">
        <v>14</v>
      </c>
      <c r="F112" t="s">
        <v>16</v>
      </c>
      <c r="G112">
        <v>18.34</v>
      </c>
      <c r="H112">
        <v>18</v>
      </c>
      <c r="I112">
        <v>420.05</v>
      </c>
      <c r="J112">
        <v>2</v>
      </c>
      <c r="K112">
        <v>306.06</v>
      </c>
    </row>
    <row r="113" spans="1:11" x14ac:dyDescent="0.3">
      <c r="A113" s="1">
        <v>45088</v>
      </c>
      <c r="B113" t="s">
        <v>17</v>
      </c>
      <c r="C113" t="s">
        <v>18</v>
      </c>
      <c r="D113" t="s">
        <v>13</v>
      </c>
      <c r="E113" t="s">
        <v>20</v>
      </c>
      <c r="F113" t="s">
        <v>16</v>
      </c>
      <c r="G113">
        <v>197.31</v>
      </c>
      <c r="H113">
        <v>8</v>
      </c>
      <c r="I113">
        <v>552.73</v>
      </c>
      <c r="J113">
        <v>1</v>
      </c>
      <c r="K113">
        <v>322.58</v>
      </c>
    </row>
    <row r="114" spans="1:11" x14ac:dyDescent="0.3">
      <c r="A114" s="1">
        <v>44932</v>
      </c>
      <c r="B114" t="s">
        <v>21</v>
      </c>
      <c r="C114" t="s">
        <v>18</v>
      </c>
      <c r="D114" t="s">
        <v>25</v>
      </c>
      <c r="E114" t="s">
        <v>20</v>
      </c>
      <c r="F114" t="s">
        <v>26</v>
      </c>
      <c r="G114">
        <v>127.7</v>
      </c>
      <c r="H114">
        <v>19</v>
      </c>
      <c r="I114">
        <v>1881.39</v>
      </c>
      <c r="J114">
        <v>0</v>
      </c>
      <c r="K114">
        <v>1753.69</v>
      </c>
    </row>
    <row r="115" spans="1:11" x14ac:dyDescent="0.3">
      <c r="A115" s="1">
        <v>45256</v>
      </c>
      <c r="B115" t="s">
        <v>23</v>
      </c>
      <c r="C115" t="s">
        <v>24</v>
      </c>
      <c r="D115" t="s">
        <v>27</v>
      </c>
      <c r="E115" t="s">
        <v>14</v>
      </c>
      <c r="F115" t="s">
        <v>22</v>
      </c>
      <c r="G115">
        <v>55.83</v>
      </c>
      <c r="H115">
        <v>2</v>
      </c>
      <c r="I115">
        <v>133.97999999999999</v>
      </c>
      <c r="J115">
        <v>2</v>
      </c>
      <c r="K115">
        <v>-11.88</v>
      </c>
    </row>
    <row r="116" spans="1:11" x14ac:dyDescent="0.3">
      <c r="A116" s="1">
        <v>45169</v>
      </c>
      <c r="B116" t="s">
        <v>17</v>
      </c>
      <c r="C116" t="s">
        <v>24</v>
      </c>
      <c r="D116" t="s">
        <v>13</v>
      </c>
      <c r="E116" t="s">
        <v>14</v>
      </c>
      <c r="F116" t="s">
        <v>15</v>
      </c>
      <c r="G116">
        <v>170.95</v>
      </c>
      <c r="H116">
        <v>4</v>
      </c>
      <c r="I116">
        <v>102.6</v>
      </c>
      <c r="J116">
        <v>3</v>
      </c>
      <c r="K116">
        <v>-124.13</v>
      </c>
    </row>
    <row r="117" spans="1:11" x14ac:dyDescent="0.3">
      <c r="A117" s="1">
        <v>45097</v>
      </c>
      <c r="B117" t="s">
        <v>17</v>
      </c>
      <c r="C117" t="s">
        <v>18</v>
      </c>
      <c r="D117" t="s">
        <v>13</v>
      </c>
      <c r="E117" t="s">
        <v>14</v>
      </c>
      <c r="F117" t="s">
        <v>16</v>
      </c>
      <c r="G117">
        <v>126.65</v>
      </c>
      <c r="H117">
        <v>17</v>
      </c>
      <c r="I117">
        <v>994.57</v>
      </c>
      <c r="J117">
        <v>2</v>
      </c>
      <c r="K117">
        <v>775.2</v>
      </c>
    </row>
    <row r="118" spans="1:11" x14ac:dyDescent="0.3">
      <c r="A118" s="1">
        <v>45197</v>
      </c>
      <c r="B118" t="s">
        <v>23</v>
      </c>
      <c r="C118" t="s">
        <v>29</v>
      </c>
      <c r="D118" t="s">
        <v>28</v>
      </c>
      <c r="E118" t="s">
        <v>14</v>
      </c>
      <c r="F118" t="s">
        <v>16</v>
      </c>
      <c r="G118">
        <v>117.81</v>
      </c>
      <c r="H118">
        <v>19</v>
      </c>
      <c r="I118">
        <v>496.91</v>
      </c>
      <c r="J118">
        <v>3</v>
      </c>
      <c r="K118">
        <v>333.1</v>
      </c>
    </row>
    <row r="119" spans="1:11" x14ac:dyDescent="0.3">
      <c r="A119" s="1">
        <v>45247</v>
      </c>
      <c r="B119" t="s">
        <v>23</v>
      </c>
      <c r="C119" t="s">
        <v>12</v>
      </c>
      <c r="D119" t="s">
        <v>13</v>
      </c>
      <c r="E119" t="s">
        <v>20</v>
      </c>
      <c r="F119" t="s">
        <v>16</v>
      </c>
      <c r="G119">
        <v>28.49</v>
      </c>
      <c r="H119">
        <v>20</v>
      </c>
      <c r="I119">
        <v>706.46</v>
      </c>
      <c r="J119">
        <v>0</v>
      </c>
      <c r="K119">
        <v>677.97</v>
      </c>
    </row>
    <row r="120" spans="1:11" x14ac:dyDescent="0.3">
      <c r="A120" s="1">
        <v>45234</v>
      </c>
      <c r="B120" t="s">
        <v>23</v>
      </c>
      <c r="C120" t="s">
        <v>24</v>
      </c>
      <c r="D120" t="s">
        <v>28</v>
      </c>
      <c r="E120" t="s">
        <v>14</v>
      </c>
      <c r="F120" t="s">
        <v>16</v>
      </c>
      <c r="G120">
        <v>171.87</v>
      </c>
      <c r="H120">
        <v>13</v>
      </c>
      <c r="I120">
        <v>223.29</v>
      </c>
      <c r="J120">
        <v>3</v>
      </c>
      <c r="K120">
        <v>-95.23</v>
      </c>
    </row>
    <row r="121" spans="1:11" x14ac:dyDescent="0.3">
      <c r="A121" s="1">
        <v>45039</v>
      </c>
      <c r="B121" t="s">
        <v>11</v>
      </c>
      <c r="C121" t="s">
        <v>12</v>
      </c>
      <c r="D121" t="s">
        <v>28</v>
      </c>
      <c r="E121" t="s">
        <v>14</v>
      </c>
      <c r="F121" t="s">
        <v>26</v>
      </c>
      <c r="G121">
        <v>194.51</v>
      </c>
      <c r="H121">
        <v>18</v>
      </c>
      <c r="I121">
        <v>1789.03</v>
      </c>
      <c r="J121">
        <v>0</v>
      </c>
      <c r="K121">
        <v>1594.52</v>
      </c>
    </row>
    <row r="122" spans="1:11" x14ac:dyDescent="0.3">
      <c r="A122" s="1">
        <v>45046</v>
      </c>
      <c r="B122" t="s">
        <v>11</v>
      </c>
      <c r="C122" t="s">
        <v>18</v>
      </c>
      <c r="D122" t="s">
        <v>19</v>
      </c>
      <c r="E122" t="s">
        <v>20</v>
      </c>
      <c r="F122" t="s">
        <v>16</v>
      </c>
      <c r="G122">
        <v>23.01</v>
      </c>
      <c r="H122">
        <v>7</v>
      </c>
      <c r="I122">
        <v>116.06</v>
      </c>
      <c r="J122">
        <v>0</v>
      </c>
      <c r="K122">
        <v>93.05</v>
      </c>
    </row>
    <row r="123" spans="1:11" x14ac:dyDescent="0.3">
      <c r="A123" s="1">
        <v>44946</v>
      </c>
      <c r="B123" t="s">
        <v>21</v>
      </c>
      <c r="C123" t="s">
        <v>18</v>
      </c>
      <c r="D123" t="s">
        <v>27</v>
      </c>
      <c r="E123" t="s">
        <v>20</v>
      </c>
      <c r="F123" t="s">
        <v>26</v>
      </c>
      <c r="G123">
        <v>174.26</v>
      </c>
      <c r="H123">
        <v>15</v>
      </c>
      <c r="I123">
        <v>1410.83</v>
      </c>
      <c r="J123">
        <v>1</v>
      </c>
      <c r="K123">
        <v>1197.58</v>
      </c>
    </row>
    <row r="124" spans="1:11" x14ac:dyDescent="0.3">
      <c r="A124" s="1">
        <v>45171</v>
      </c>
      <c r="B124" t="s">
        <v>23</v>
      </c>
      <c r="C124" t="s">
        <v>12</v>
      </c>
      <c r="D124" t="s">
        <v>27</v>
      </c>
      <c r="E124" t="s">
        <v>14</v>
      </c>
      <c r="F124" t="s">
        <v>26</v>
      </c>
      <c r="G124">
        <v>156.94999999999999</v>
      </c>
      <c r="H124">
        <v>15</v>
      </c>
      <c r="I124">
        <v>1164.95</v>
      </c>
      <c r="J124">
        <v>0</v>
      </c>
      <c r="K124">
        <v>1008</v>
      </c>
    </row>
    <row r="125" spans="1:11" x14ac:dyDescent="0.3">
      <c r="A125" s="1">
        <v>45271</v>
      </c>
      <c r="B125" t="s">
        <v>21</v>
      </c>
      <c r="C125" t="s">
        <v>24</v>
      </c>
      <c r="D125" t="s">
        <v>25</v>
      </c>
      <c r="E125" t="s">
        <v>20</v>
      </c>
      <c r="F125" t="s">
        <v>26</v>
      </c>
      <c r="G125">
        <v>37.909999999999997</v>
      </c>
      <c r="H125">
        <v>12</v>
      </c>
      <c r="I125">
        <v>1119.4000000000001</v>
      </c>
      <c r="J125">
        <v>0</v>
      </c>
      <c r="K125">
        <v>1081.49</v>
      </c>
    </row>
    <row r="126" spans="1:11" x14ac:dyDescent="0.3">
      <c r="A126" s="1">
        <v>45094</v>
      </c>
      <c r="B126" t="s">
        <v>17</v>
      </c>
      <c r="C126" t="s">
        <v>12</v>
      </c>
      <c r="D126" t="s">
        <v>28</v>
      </c>
      <c r="E126" t="s">
        <v>20</v>
      </c>
      <c r="F126" t="s">
        <v>15</v>
      </c>
      <c r="G126">
        <v>65.55</v>
      </c>
      <c r="H126">
        <v>9</v>
      </c>
      <c r="I126">
        <v>111.5</v>
      </c>
      <c r="J126">
        <v>2</v>
      </c>
      <c r="K126">
        <v>-39.200000000000003</v>
      </c>
    </row>
    <row r="127" spans="1:11" x14ac:dyDescent="0.3">
      <c r="A127" s="1">
        <v>44952</v>
      </c>
      <c r="B127" t="s">
        <v>21</v>
      </c>
      <c r="C127" t="s">
        <v>18</v>
      </c>
      <c r="D127" t="s">
        <v>27</v>
      </c>
      <c r="E127" t="s">
        <v>14</v>
      </c>
      <c r="F127" t="s">
        <v>15</v>
      </c>
      <c r="G127">
        <v>17.52</v>
      </c>
      <c r="H127">
        <v>7</v>
      </c>
      <c r="I127">
        <v>321.74</v>
      </c>
      <c r="J127">
        <v>1</v>
      </c>
      <c r="K127">
        <v>294.43</v>
      </c>
    </row>
    <row r="128" spans="1:11" x14ac:dyDescent="0.3">
      <c r="A128" s="1">
        <v>45238</v>
      </c>
      <c r="B128" t="s">
        <v>23</v>
      </c>
      <c r="C128" t="s">
        <v>24</v>
      </c>
      <c r="D128" t="s">
        <v>25</v>
      </c>
      <c r="E128" t="s">
        <v>20</v>
      </c>
      <c r="F128" t="s">
        <v>22</v>
      </c>
      <c r="G128">
        <v>106.58</v>
      </c>
      <c r="H128">
        <v>3</v>
      </c>
      <c r="I128">
        <v>122.98</v>
      </c>
      <c r="J128">
        <v>1</v>
      </c>
      <c r="K128">
        <v>-30.11</v>
      </c>
    </row>
    <row r="129" spans="1:11" x14ac:dyDescent="0.3">
      <c r="A129" s="1">
        <v>44930</v>
      </c>
      <c r="B129" t="s">
        <v>21</v>
      </c>
      <c r="C129" t="s">
        <v>29</v>
      </c>
      <c r="D129" t="s">
        <v>19</v>
      </c>
      <c r="E129" t="s">
        <v>20</v>
      </c>
      <c r="F129" t="s">
        <v>15</v>
      </c>
      <c r="G129">
        <v>69.19</v>
      </c>
      <c r="H129">
        <v>12</v>
      </c>
      <c r="I129">
        <v>1132.74</v>
      </c>
      <c r="J129">
        <v>1</v>
      </c>
      <c r="K129">
        <v>1039.6600000000001</v>
      </c>
    </row>
    <row r="130" spans="1:11" x14ac:dyDescent="0.3">
      <c r="A130" s="1">
        <v>45143</v>
      </c>
      <c r="B130" t="s">
        <v>17</v>
      </c>
      <c r="C130" t="s">
        <v>29</v>
      </c>
      <c r="D130" t="s">
        <v>13</v>
      </c>
      <c r="E130" t="s">
        <v>20</v>
      </c>
      <c r="F130" t="s">
        <v>26</v>
      </c>
      <c r="G130">
        <v>189.71</v>
      </c>
      <c r="H130">
        <v>14</v>
      </c>
      <c r="I130">
        <v>1055.5999999999999</v>
      </c>
      <c r="J130">
        <v>1</v>
      </c>
      <c r="K130">
        <v>839.15</v>
      </c>
    </row>
    <row r="131" spans="1:11" x14ac:dyDescent="0.3">
      <c r="A131" s="1">
        <v>44929</v>
      </c>
      <c r="B131" t="s">
        <v>21</v>
      </c>
      <c r="C131" t="s">
        <v>12</v>
      </c>
      <c r="D131" t="s">
        <v>13</v>
      </c>
      <c r="E131" t="s">
        <v>20</v>
      </c>
      <c r="F131" t="s">
        <v>15</v>
      </c>
      <c r="G131">
        <v>89.18</v>
      </c>
      <c r="H131">
        <v>2</v>
      </c>
      <c r="I131">
        <v>108.84</v>
      </c>
      <c r="J131">
        <v>0</v>
      </c>
      <c r="K131">
        <v>19.66</v>
      </c>
    </row>
    <row r="132" spans="1:11" x14ac:dyDescent="0.3">
      <c r="A132" s="1">
        <v>45164</v>
      </c>
      <c r="B132" t="s">
        <v>17</v>
      </c>
      <c r="C132" t="s">
        <v>24</v>
      </c>
      <c r="D132" t="s">
        <v>19</v>
      </c>
      <c r="E132" t="s">
        <v>20</v>
      </c>
      <c r="F132" t="s">
        <v>22</v>
      </c>
      <c r="G132">
        <v>12.99</v>
      </c>
      <c r="H132">
        <v>12</v>
      </c>
      <c r="I132">
        <v>360.99</v>
      </c>
      <c r="J132">
        <v>2</v>
      </c>
      <c r="K132">
        <v>255.31</v>
      </c>
    </row>
    <row r="133" spans="1:11" x14ac:dyDescent="0.3">
      <c r="A133" s="1">
        <v>45286</v>
      </c>
      <c r="B133" t="s">
        <v>21</v>
      </c>
      <c r="C133" t="s">
        <v>12</v>
      </c>
      <c r="D133" t="s">
        <v>19</v>
      </c>
      <c r="E133" t="s">
        <v>20</v>
      </c>
      <c r="F133" t="s">
        <v>16</v>
      </c>
      <c r="G133">
        <v>194.39</v>
      </c>
      <c r="H133">
        <v>18</v>
      </c>
      <c r="I133">
        <v>1560.62</v>
      </c>
      <c r="J133">
        <v>1</v>
      </c>
      <c r="K133">
        <v>1319.57</v>
      </c>
    </row>
    <row r="134" spans="1:11" x14ac:dyDescent="0.3">
      <c r="A134" s="1">
        <v>45034</v>
      </c>
      <c r="B134" t="s">
        <v>11</v>
      </c>
      <c r="C134" t="s">
        <v>29</v>
      </c>
      <c r="D134" t="s">
        <v>28</v>
      </c>
      <c r="E134" t="s">
        <v>14</v>
      </c>
      <c r="F134" t="s">
        <v>15</v>
      </c>
      <c r="G134">
        <v>135.66999999999999</v>
      </c>
      <c r="H134">
        <v>12</v>
      </c>
      <c r="I134">
        <v>904.96</v>
      </c>
      <c r="J134">
        <v>1</v>
      </c>
      <c r="K134">
        <v>741.27</v>
      </c>
    </row>
    <row r="135" spans="1:11" x14ac:dyDescent="0.3">
      <c r="A135" s="1">
        <v>45260</v>
      </c>
      <c r="B135" t="s">
        <v>23</v>
      </c>
      <c r="C135" t="s">
        <v>29</v>
      </c>
      <c r="D135" t="s">
        <v>27</v>
      </c>
      <c r="E135" t="s">
        <v>14</v>
      </c>
      <c r="F135" t="s">
        <v>22</v>
      </c>
      <c r="G135">
        <v>16.7</v>
      </c>
      <c r="H135">
        <v>8</v>
      </c>
      <c r="I135">
        <v>471.24</v>
      </c>
      <c r="J135">
        <v>3</v>
      </c>
      <c r="K135">
        <v>380.89</v>
      </c>
    </row>
    <row r="136" spans="1:11" x14ac:dyDescent="0.3">
      <c r="A136" s="1">
        <v>45119</v>
      </c>
      <c r="B136" t="s">
        <v>17</v>
      </c>
      <c r="C136" t="s">
        <v>12</v>
      </c>
      <c r="D136" t="s">
        <v>28</v>
      </c>
      <c r="E136" t="s">
        <v>20</v>
      </c>
      <c r="F136" t="s">
        <v>22</v>
      </c>
      <c r="G136">
        <v>191.04</v>
      </c>
      <c r="H136">
        <v>18</v>
      </c>
      <c r="I136">
        <v>1318.57</v>
      </c>
      <c r="J136">
        <v>1</v>
      </c>
      <c r="K136">
        <v>1079.47</v>
      </c>
    </row>
    <row r="137" spans="1:11" x14ac:dyDescent="0.3">
      <c r="A137" s="1">
        <v>45189</v>
      </c>
      <c r="B137" t="s">
        <v>23</v>
      </c>
      <c r="C137" t="s">
        <v>18</v>
      </c>
      <c r="D137" t="s">
        <v>19</v>
      </c>
      <c r="E137" t="s">
        <v>14</v>
      </c>
      <c r="F137" t="s">
        <v>15</v>
      </c>
      <c r="G137">
        <v>167.57</v>
      </c>
      <c r="H137">
        <v>20</v>
      </c>
      <c r="I137">
        <v>1411.03</v>
      </c>
      <c r="J137">
        <v>3</v>
      </c>
      <c r="K137">
        <v>1104.4100000000001</v>
      </c>
    </row>
    <row r="138" spans="1:11" x14ac:dyDescent="0.3">
      <c r="A138" s="1">
        <v>45007</v>
      </c>
      <c r="B138" t="s">
        <v>11</v>
      </c>
      <c r="C138" t="s">
        <v>18</v>
      </c>
      <c r="D138" t="s">
        <v>25</v>
      </c>
      <c r="E138" t="s">
        <v>14</v>
      </c>
      <c r="F138" t="s">
        <v>26</v>
      </c>
      <c r="G138">
        <v>12.85</v>
      </c>
      <c r="H138">
        <v>17</v>
      </c>
      <c r="I138">
        <v>1660.2</v>
      </c>
      <c r="J138">
        <v>2</v>
      </c>
      <c r="K138">
        <v>1593.47</v>
      </c>
    </row>
    <row r="139" spans="1:11" x14ac:dyDescent="0.3">
      <c r="A139" s="1">
        <v>45095</v>
      </c>
      <c r="B139" t="s">
        <v>17</v>
      </c>
      <c r="C139" t="s">
        <v>24</v>
      </c>
      <c r="D139" t="s">
        <v>25</v>
      </c>
      <c r="E139" t="s">
        <v>14</v>
      </c>
      <c r="F139" t="s">
        <v>15</v>
      </c>
      <c r="G139">
        <v>22.32</v>
      </c>
      <c r="H139">
        <v>6</v>
      </c>
      <c r="I139">
        <v>377.74</v>
      </c>
      <c r="J139">
        <v>1</v>
      </c>
      <c r="K139">
        <v>336.9</v>
      </c>
    </row>
    <row r="140" spans="1:11" x14ac:dyDescent="0.3">
      <c r="A140" s="1">
        <v>45075</v>
      </c>
      <c r="B140" t="s">
        <v>11</v>
      </c>
      <c r="C140" t="s">
        <v>29</v>
      </c>
      <c r="D140" t="s">
        <v>19</v>
      </c>
      <c r="E140" t="s">
        <v>14</v>
      </c>
      <c r="F140" t="s">
        <v>26</v>
      </c>
      <c r="G140">
        <v>100.91</v>
      </c>
      <c r="H140">
        <v>6</v>
      </c>
      <c r="I140">
        <v>216.01</v>
      </c>
      <c r="J140">
        <v>1</v>
      </c>
      <c r="K140">
        <v>71.84</v>
      </c>
    </row>
    <row r="141" spans="1:11" x14ac:dyDescent="0.3">
      <c r="A141" s="1">
        <v>45213</v>
      </c>
      <c r="B141" t="s">
        <v>23</v>
      </c>
      <c r="C141" t="s">
        <v>12</v>
      </c>
      <c r="D141" t="s">
        <v>19</v>
      </c>
      <c r="E141" t="s">
        <v>20</v>
      </c>
      <c r="F141" t="s">
        <v>16</v>
      </c>
      <c r="G141">
        <v>39.770000000000003</v>
      </c>
      <c r="H141">
        <v>12</v>
      </c>
      <c r="I141">
        <v>883.77</v>
      </c>
      <c r="J141">
        <v>3</v>
      </c>
      <c r="K141">
        <v>701.49</v>
      </c>
    </row>
    <row r="142" spans="1:11" x14ac:dyDescent="0.3">
      <c r="A142" s="1">
        <v>45209</v>
      </c>
      <c r="B142" t="s">
        <v>23</v>
      </c>
      <c r="C142" t="s">
        <v>12</v>
      </c>
      <c r="D142" t="s">
        <v>19</v>
      </c>
      <c r="E142" t="s">
        <v>14</v>
      </c>
      <c r="F142" t="s">
        <v>15</v>
      </c>
      <c r="G142">
        <v>131.16</v>
      </c>
      <c r="H142">
        <v>8</v>
      </c>
      <c r="I142">
        <v>264.12</v>
      </c>
      <c r="J142">
        <v>3</v>
      </c>
      <c r="K142">
        <v>91.24</v>
      </c>
    </row>
    <row r="143" spans="1:11" x14ac:dyDescent="0.3">
      <c r="A143" s="1">
        <v>44992</v>
      </c>
      <c r="B143" t="s">
        <v>11</v>
      </c>
      <c r="C143" t="s">
        <v>24</v>
      </c>
      <c r="D143" t="s">
        <v>28</v>
      </c>
      <c r="E143" t="s">
        <v>20</v>
      </c>
      <c r="F143" t="s">
        <v>22</v>
      </c>
      <c r="G143">
        <v>160.97</v>
      </c>
      <c r="H143">
        <v>9</v>
      </c>
      <c r="I143">
        <v>493.9</v>
      </c>
      <c r="J143">
        <v>1</v>
      </c>
      <c r="K143">
        <v>292.95</v>
      </c>
    </row>
    <row r="144" spans="1:11" x14ac:dyDescent="0.3">
      <c r="A144" s="1">
        <v>45275</v>
      </c>
      <c r="B144" t="s">
        <v>21</v>
      </c>
      <c r="C144" t="s">
        <v>24</v>
      </c>
      <c r="D144" t="s">
        <v>25</v>
      </c>
      <c r="E144" t="s">
        <v>20</v>
      </c>
      <c r="F144" t="s">
        <v>22</v>
      </c>
      <c r="G144">
        <v>101.6</v>
      </c>
      <c r="H144">
        <v>2</v>
      </c>
      <c r="I144">
        <v>107.37</v>
      </c>
      <c r="J144">
        <v>2</v>
      </c>
      <c r="K144">
        <v>-75.099999999999994</v>
      </c>
    </row>
    <row r="145" spans="1:11" x14ac:dyDescent="0.3">
      <c r="A145" s="1">
        <v>45225</v>
      </c>
      <c r="B145" t="s">
        <v>23</v>
      </c>
      <c r="C145" t="s">
        <v>12</v>
      </c>
      <c r="D145" t="s">
        <v>13</v>
      </c>
      <c r="E145" t="s">
        <v>20</v>
      </c>
      <c r="F145" t="s">
        <v>16</v>
      </c>
      <c r="G145">
        <v>54.7</v>
      </c>
      <c r="H145">
        <v>3</v>
      </c>
      <c r="I145">
        <v>59.59</v>
      </c>
      <c r="J145">
        <v>3</v>
      </c>
      <c r="K145">
        <v>-21.29</v>
      </c>
    </row>
    <row r="146" spans="1:11" x14ac:dyDescent="0.3">
      <c r="A146" s="1">
        <v>44997</v>
      </c>
      <c r="B146" t="s">
        <v>11</v>
      </c>
      <c r="C146" t="s">
        <v>12</v>
      </c>
      <c r="D146" t="s">
        <v>25</v>
      </c>
      <c r="E146" t="s">
        <v>20</v>
      </c>
      <c r="F146" t="s">
        <v>16</v>
      </c>
      <c r="G146">
        <v>138.05000000000001</v>
      </c>
      <c r="H146">
        <v>11</v>
      </c>
      <c r="I146">
        <v>392.49</v>
      </c>
      <c r="J146">
        <v>2</v>
      </c>
      <c r="K146">
        <v>205.09</v>
      </c>
    </row>
    <row r="147" spans="1:11" x14ac:dyDescent="0.3">
      <c r="A147" s="1">
        <v>45171</v>
      </c>
      <c r="B147" t="s">
        <v>23</v>
      </c>
      <c r="C147" t="s">
        <v>24</v>
      </c>
      <c r="D147" t="s">
        <v>19</v>
      </c>
      <c r="E147" t="s">
        <v>20</v>
      </c>
      <c r="F147" t="s">
        <v>26</v>
      </c>
      <c r="G147">
        <v>16.54</v>
      </c>
      <c r="H147">
        <v>2</v>
      </c>
      <c r="I147">
        <v>29.87</v>
      </c>
      <c r="J147">
        <v>2</v>
      </c>
      <c r="K147">
        <v>-47.1</v>
      </c>
    </row>
    <row r="148" spans="1:11" x14ac:dyDescent="0.3">
      <c r="A148" s="1">
        <v>45023</v>
      </c>
      <c r="B148" t="s">
        <v>11</v>
      </c>
      <c r="C148" t="s">
        <v>29</v>
      </c>
      <c r="D148" t="s">
        <v>25</v>
      </c>
      <c r="E148" t="s">
        <v>14</v>
      </c>
      <c r="F148" t="s">
        <v>15</v>
      </c>
      <c r="G148">
        <v>16.399999999999999</v>
      </c>
      <c r="H148">
        <v>4</v>
      </c>
      <c r="I148">
        <v>312.13</v>
      </c>
      <c r="J148">
        <v>1</v>
      </c>
      <c r="K148">
        <v>254.19</v>
      </c>
    </row>
    <row r="149" spans="1:11" x14ac:dyDescent="0.3">
      <c r="A149" s="1">
        <v>45107</v>
      </c>
      <c r="B149" t="s">
        <v>17</v>
      </c>
      <c r="C149" t="s">
        <v>24</v>
      </c>
      <c r="D149" t="s">
        <v>19</v>
      </c>
      <c r="E149" t="s">
        <v>20</v>
      </c>
      <c r="F149" t="s">
        <v>15</v>
      </c>
      <c r="G149">
        <v>25.5</v>
      </c>
      <c r="H149">
        <v>19</v>
      </c>
      <c r="I149">
        <v>1259.9100000000001</v>
      </c>
      <c r="J149">
        <v>1</v>
      </c>
      <c r="K149">
        <v>1208.6400000000001</v>
      </c>
    </row>
    <row r="150" spans="1:11" x14ac:dyDescent="0.3">
      <c r="A150" s="1">
        <v>44937</v>
      </c>
      <c r="B150" t="s">
        <v>21</v>
      </c>
      <c r="C150" t="s">
        <v>29</v>
      </c>
      <c r="D150" t="s">
        <v>19</v>
      </c>
      <c r="E150" t="s">
        <v>20</v>
      </c>
      <c r="F150" t="s">
        <v>22</v>
      </c>
      <c r="G150">
        <v>38.979999999999997</v>
      </c>
      <c r="H150">
        <v>5</v>
      </c>
      <c r="I150">
        <v>164.72</v>
      </c>
      <c r="J150">
        <v>1</v>
      </c>
      <c r="K150">
        <v>119.56</v>
      </c>
    </row>
    <row r="151" spans="1:11" x14ac:dyDescent="0.3">
      <c r="A151" s="1">
        <v>45006</v>
      </c>
      <c r="B151" t="s">
        <v>11</v>
      </c>
      <c r="C151" t="s">
        <v>24</v>
      </c>
      <c r="D151" t="s">
        <v>27</v>
      </c>
      <c r="E151" t="s">
        <v>14</v>
      </c>
      <c r="F151" t="s">
        <v>16</v>
      </c>
      <c r="G151">
        <v>21.18</v>
      </c>
      <c r="H151">
        <v>20</v>
      </c>
      <c r="I151">
        <v>922.14</v>
      </c>
      <c r="J151">
        <v>1</v>
      </c>
      <c r="K151">
        <v>881.33</v>
      </c>
    </row>
    <row r="152" spans="1:11" x14ac:dyDescent="0.3">
      <c r="A152" s="1">
        <v>45146</v>
      </c>
      <c r="B152" t="s">
        <v>17</v>
      </c>
      <c r="C152" t="s">
        <v>12</v>
      </c>
      <c r="D152" t="s">
        <v>27</v>
      </c>
      <c r="E152" t="s">
        <v>20</v>
      </c>
      <c r="F152" t="s">
        <v>26</v>
      </c>
      <c r="G152">
        <v>89.86</v>
      </c>
      <c r="H152">
        <v>6</v>
      </c>
      <c r="I152">
        <v>484.96</v>
      </c>
      <c r="J152">
        <v>0</v>
      </c>
      <c r="K152">
        <v>395.1</v>
      </c>
    </row>
    <row r="153" spans="1:11" x14ac:dyDescent="0.3">
      <c r="A153" s="1">
        <v>45181</v>
      </c>
      <c r="B153" t="s">
        <v>23</v>
      </c>
      <c r="C153" t="s">
        <v>12</v>
      </c>
      <c r="D153" t="s">
        <v>28</v>
      </c>
      <c r="E153" t="s">
        <v>14</v>
      </c>
      <c r="F153" t="s">
        <v>22</v>
      </c>
      <c r="G153">
        <v>43.67</v>
      </c>
      <c r="H153">
        <v>17</v>
      </c>
      <c r="I153">
        <v>551.57000000000005</v>
      </c>
      <c r="J153">
        <v>2</v>
      </c>
      <c r="K153">
        <v>430.72</v>
      </c>
    </row>
    <row r="154" spans="1:11" x14ac:dyDescent="0.3">
      <c r="A154" s="1">
        <v>45270</v>
      </c>
      <c r="B154" t="s">
        <v>21</v>
      </c>
      <c r="C154" t="s">
        <v>24</v>
      </c>
      <c r="D154" t="s">
        <v>27</v>
      </c>
      <c r="E154" t="s">
        <v>20</v>
      </c>
      <c r="F154" t="s">
        <v>15</v>
      </c>
      <c r="G154">
        <v>47.45</v>
      </c>
      <c r="H154">
        <v>15</v>
      </c>
      <c r="I154">
        <v>1037.57</v>
      </c>
      <c r="J154">
        <v>0</v>
      </c>
      <c r="K154">
        <v>990.12</v>
      </c>
    </row>
    <row r="155" spans="1:11" x14ac:dyDescent="0.3">
      <c r="A155" s="1">
        <v>45279</v>
      </c>
      <c r="B155" t="s">
        <v>21</v>
      </c>
      <c r="C155" t="s">
        <v>24</v>
      </c>
      <c r="D155" t="s">
        <v>19</v>
      </c>
      <c r="E155" t="s">
        <v>14</v>
      </c>
      <c r="F155" t="s">
        <v>26</v>
      </c>
      <c r="G155">
        <v>118.14</v>
      </c>
      <c r="H155">
        <v>7</v>
      </c>
      <c r="I155">
        <v>362.23</v>
      </c>
      <c r="J155">
        <v>3</v>
      </c>
      <c r="K155">
        <v>113.85</v>
      </c>
    </row>
    <row r="156" spans="1:11" x14ac:dyDescent="0.3">
      <c r="A156" s="1">
        <v>45246</v>
      </c>
      <c r="B156" t="s">
        <v>23</v>
      </c>
      <c r="C156" t="s">
        <v>29</v>
      </c>
      <c r="D156" t="s">
        <v>25</v>
      </c>
      <c r="E156" t="s">
        <v>14</v>
      </c>
      <c r="F156" t="s">
        <v>22</v>
      </c>
      <c r="G156">
        <v>115.41</v>
      </c>
      <c r="H156">
        <v>10</v>
      </c>
      <c r="I156">
        <v>417.14</v>
      </c>
      <c r="J156">
        <v>1</v>
      </c>
      <c r="K156">
        <v>273.32</v>
      </c>
    </row>
    <row r="157" spans="1:11" x14ac:dyDescent="0.3">
      <c r="A157" s="1">
        <v>45209</v>
      </c>
      <c r="B157" t="s">
        <v>23</v>
      </c>
      <c r="C157" t="s">
        <v>12</v>
      </c>
      <c r="D157" t="s">
        <v>13</v>
      </c>
      <c r="E157" t="s">
        <v>20</v>
      </c>
      <c r="F157" t="s">
        <v>26</v>
      </c>
      <c r="G157">
        <v>23.52</v>
      </c>
      <c r="H157">
        <v>2</v>
      </c>
      <c r="I157">
        <v>71.86</v>
      </c>
      <c r="J157">
        <v>0</v>
      </c>
      <c r="K157">
        <v>48.34</v>
      </c>
    </row>
    <row r="158" spans="1:11" x14ac:dyDescent="0.3">
      <c r="A158" s="1">
        <v>44981</v>
      </c>
      <c r="B158" t="s">
        <v>21</v>
      </c>
      <c r="C158" t="s">
        <v>29</v>
      </c>
      <c r="D158" t="s">
        <v>25</v>
      </c>
      <c r="E158" t="s">
        <v>20</v>
      </c>
      <c r="F158" t="s">
        <v>15</v>
      </c>
      <c r="G158">
        <v>185.18</v>
      </c>
      <c r="H158">
        <v>19</v>
      </c>
      <c r="I158">
        <v>1583.75</v>
      </c>
      <c r="J158">
        <v>3</v>
      </c>
      <c r="K158">
        <v>1332.26</v>
      </c>
    </row>
    <row r="159" spans="1:11" x14ac:dyDescent="0.3">
      <c r="A159" s="1">
        <v>45221</v>
      </c>
      <c r="B159" t="s">
        <v>23</v>
      </c>
      <c r="C159" t="s">
        <v>12</v>
      </c>
      <c r="D159" t="s">
        <v>19</v>
      </c>
      <c r="E159" t="s">
        <v>20</v>
      </c>
      <c r="F159" t="s">
        <v>15</v>
      </c>
      <c r="G159">
        <v>36.89</v>
      </c>
      <c r="H159">
        <v>1</v>
      </c>
      <c r="I159">
        <v>21.8</v>
      </c>
      <c r="J159">
        <v>1</v>
      </c>
      <c r="K159">
        <v>-54.89</v>
      </c>
    </row>
    <row r="160" spans="1:11" x14ac:dyDescent="0.3">
      <c r="A160" s="1">
        <v>45268</v>
      </c>
      <c r="B160" t="s">
        <v>21</v>
      </c>
      <c r="C160" t="s">
        <v>12</v>
      </c>
      <c r="D160" t="s">
        <v>28</v>
      </c>
      <c r="E160" t="s">
        <v>14</v>
      </c>
      <c r="F160" t="s">
        <v>15</v>
      </c>
      <c r="G160">
        <v>34.880000000000003</v>
      </c>
      <c r="H160">
        <v>11</v>
      </c>
      <c r="I160">
        <v>502.51</v>
      </c>
      <c r="J160">
        <v>0</v>
      </c>
      <c r="K160">
        <v>467.63</v>
      </c>
    </row>
    <row r="161" spans="1:11" x14ac:dyDescent="0.3">
      <c r="A161" s="1">
        <v>45144</v>
      </c>
      <c r="B161" t="s">
        <v>17</v>
      </c>
      <c r="C161" t="s">
        <v>18</v>
      </c>
      <c r="D161" t="s">
        <v>28</v>
      </c>
      <c r="E161" t="s">
        <v>14</v>
      </c>
      <c r="F161" t="s">
        <v>16</v>
      </c>
      <c r="G161">
        <v>136.27000000000001</v>
      </c>
      <c r="H161">
        <v>3</v>
      </c>
      <c r="I161">
        <v>51.46</v>
      </c>
      <c r="J161">
        <v>3</v>
      </c>
      <c r="K161">
        <v>-201.31</v>
      </c>
    </row>
    <row r="162" spans="1:11" x14ac:dyDescent="0.3">
      <c r="A162" s="1">
        <v>45170</v>
      </c>
      <c r="B162" t="s">
        <v>23</v>
      </c>
      <c r="C162" t="s">
        <v>24</v>
      </c>
      <c r="D162" t="s">
        <v>28</v>
      </c>
      <c r="E162" t="s">
        <v>20</v>
      </c>
      <c r="F162" t="s">
        <v>16</v>
      </c>
      <c r="G162">
        <v>70.97</v>
      </c>
      <c r="H162">
        <v>19</v>
      </c>
      <c r="I162">
        <v>1557.56</v>
      </c>
      <c r="J162">
        <v>2</v>
      </c>
      <c r="K162">
        <v>1469.63</v>
      </c>
    </row>
    <row r="163" spans="1:11" x14ac:dyDescent="0.3">
      <c r="A163" s="1">
        <v>45073</v>
      </c>
      <c r="B163" t="s">
        <v>11</v>
      </c>
      <c r="C163" t="s">
        <v>12</v>
      </c>
      <c r="D163" t="s">
        <v>25</v>
      </c>
      <c r="E163" t="s">
        <v>14</v>
      </c>
      <c r="F163" t="s">
        <v>22</v>
      </c>
      <c r="G163">
        <v>150.28</v>
      </c>
      <c r="H163">
        <v>12</v>
      </c>
      <c r="I163">
        <v>1000.06</v>
      </c>
      <c r="J163">
        <v>2</v>
      </c>
      <c r="K163">
        <v>813.9</v>
      </c>
    </row>
    <row r="164" spans="1:11" x14ac:dyDescent="0.3">
      <c r="A164" s="1">
        <v>45012</v>
      </c>
      <c r="B164" t="s">
        <v>11</v>
      </c>
      <c r="C164" t="s">
        <v>12</v>
      </c>
      <c r="D164" t="s">
        <v>27</v>
      </c>
      <c r="E164" t="s">
        <v>14</v>
      </c>
      <c r="F164" t="s">
        <v>22</v>
      </c>
      <c r="G164">
        <v>53.06</v>
      </c>
      <c r="H164">
        <v>20</v>
      </c>
      <c r="I164">
        <v>352.89</v>
      </c>
      <c r="J164">
        <v>3</v>
      </c>
      <c r="K164">
        <v>199.7</v>
      </c>
    </row>
    <row r="165" spans="1:11" x14ac:dyDescent="0.3">
      <c r="A165" s="1">
        <v>45072</v>
      </c>
      <c r="B165" t="s">
        <v>11</v>
      </c>
      <c r="C165" t="s">
        <v>24</v>
      </c>
      <c r="D165" t="s">
        <v>25</v>
      </c>
      <c r="E165" t="s">
        <v>14</v>
      </c>
      <c r="F165" t="s">
        <v>22</v>
      </c>
      <c r="G165">
        <v>82.16</v>
      </c>
      <c r="H165">
        <v>8</v>
      </c>
      <c r="I165">
        <v>552.17999999999995</v>
      </c>
      <c r="J165">
        <v>3</v>
      </c>
      <c r="K165">
        <v>422.09</v>
      </c>
    </row>
    <row r="166" spans="1:11" x14ac:dyDescent="0.3">
      <c r="A166" s="1">
        <v>45033</v>
      </c>
      <c r="B166" t="s">
        <v>11</v>
      </c>
      <c r="C166" t="s">
        <v>18</v>
      </c>
      <c r="D166" t="s">
        <v>28</v>
      </c>
      <c r="E166" t="s">
        <v>14</v>
      </c>
      <c r="F166" t="s">
        <v>15</v>
      </c>
      <c r="G166">
        <v>38.799999999999997</v>
      </c>
      <c r="H166">
        <v>13</v>
      </c>
      <c r="I166">
        <v>1282.6099999999999</v>
      </c>
      <c r="J166">
        <v>0</v>
      </c>
      <c r="K166">
        <v>1243.81</v>
      </c>
    </row>
    <row r="167" spans="1:11" x14ac:dyDescent="0.3">
      <c r="A167" s="1">
        <v>45012</v>
      </c>
      <c r="B167" t="s">
        <v>11</v>
      </c>
      <c r="C167" t="s">
        <v>18</v>
      </c>
      <c r="D167" t="s">
        <v>27</v>
      </c>
      <c r="E167" t="s">
        <v>20</v>
      </c>
      <c r="F167" t="s">
        <v>16</v>
      </c>
      <c r="G167">
        <v>28.93</v>
      </c>
      <c r="H167">
        <v>11</v>
      </c>
      <c r="I167">
        <v>981.37</v>
      </c>
      <c r="J167">
        <v>2</v>
      </c>
      <c r="K167">
        <v>914.83</v>
      </c>
    </row>
    <row r="168" spans="1:11" x14ac:dyDescent="0.3">
      <c r="A168" s="1">
        <v>45077</v>
      </c>
      <c r="B168" t="s">
        <v>11</v>
      </c>
      <c r="C168" t="s">
        <v>24</v>
      </c>
      <c r="D168" t="s">
        <v>13</v>
      </c>
      <c r="E168" t="s">
        <v>14</v>
      </c>
      <c r="F168" t="s">
        <v>16</v>
      </c>
      <c r="G168">
        <v>13.27</v>
      </c>
      <c r="H168">
        <v>4</v>
      </c>
      <c r="I168">
        <v>64.58</v>
      </c>
      <c r="J168">
        <v>0</v>
      </c>
      <c r="K168">
        <v>51.31</v>
      </c>
    </row>
    <row r="169" spans="1:11" x14ac:dyDescent="0.3">
      <c r="A169" s="1">
        <v>45245</v>
      </c>
      <c r="B169" t="s">
        <v>23</v>
      </c>
      <c r="C169" t="s">
        <v>12</v>
      </c>
      <c r="D169" t="s">
        <v>27</v>
      </c>
      <c r="E169" t="s">
        <v>14</v>
      </c>
      <c r="F169" t="s">
        <v>15</v>
      </c>
      <c r="G169">
        <v>148.91999999999999</v>
      </c>
      <c r="H169">
        <v>16</v>
      </c>
      <c r="I169">
        <v>409.2</v>
      </c>
      <c r="J169">
        <v>2</v>
      </c>
      <c r="K169">
        <v>197.66</v>
      </c>
    </row>
    <row r="170" spans="1:11" x14ac:dyDescent="0.3">
      <c r="A170" s="1">
        <v>45166</v>
      </c>
      <c r="B170" t="s">
        <v>17</v>
      </c>
      <c r="C170" t="s">
        <v>12</v>
      </c>
      <c r="D170" t="s">
        <v>13</v>
      </c>
      <c r="E170" t="s">
        <v>14</v>
      </c>
      <c r="F170" t="s">
        <v>16</v>
      </c>
      <c r="G170">
        <v>82.48</v>
      </c>
      <c r="H170">
        <v>13</v>
      </c>
      <c r="I170">
        <v>276.87</v>
      </c>
      <c r="J170">
        <v>0</v>
      </c>
      <c r="K170">
        <v>194.39</v>
      </c>
    </row>
    <row r="171" spans="1:11" x14ac:dyDescent="0.3">
      <c r="A171" s="1">
        <v>45073</v>
      </c>
      <c r="B171" t="s">
        <v>11</v>
      </c>
      <c r="C171" t="s">
        <v>24</v>
      </c>
      <c r="D171" t="s">
        <v>19</v>
      </c>
      <c r="E171" t="s">
        <v>20</v>
      </c>
      <c r="F171" t="s">
        <v>22</v>
      </c>
      <c r="G171">
        <v>122.47</v>
      </c>
      <c r="H171">
        <v>12</v>
      </c>
      <c r="I171">
        <v>285.11</v>
      </c>
      <c r="J171">
        <v>2</v>
      </c>
      <c r="K171">
        <v>65.02</v>
      </c>
    </row>
    <row r="172" spans="1:11" x14ac:dyDescent="0.3">
      <c r="A172" s="1">
        <v>44988</v>
      </c>
      <c r="B172" t="s">
        <v>11</v>
      </c>
      <c r="C172" t="s">
        <v>12</v>
      </c>
      <c r="D172" t="s">
        <v>28</v>
      </c>
      <c r="E172" t="s">
        <v>20</v>
      </c>
      <c r="F172" t="s">
        <v>26</v>
      </c>
      <c r="G172">
        <v>70.06</v>
      </c>
      <c r="H172">
        <v>1</v>
      </c>
      <c r="I172">
        <v>14.77</v>
      </c>
      <c r="J172">
        <v>0</v>
      </c>
      <c r="K172">
        <v>-55.29</v>
      </c>
    </row>
    <row r="173" spans="1:11" x14ac:dyDescent="0.3">
      <c r="A173" s="1">
        <v>45282</v>
      </c>
      <c r="B173" t="s">
        <v>21</v>
      </c>
      <c r="C173" t="s">
        <v>24</v>
      </c>
      <c r="D173" t="s">
        <v>28</v>
      </c>
      <c r="E173" t="s">
        <v>20</v>
      </c>
      <c r="F173" t="s">
        <v>26</v>
      </c>
      <c r="G173">
        <v>36.99</v>
      </c>
      <c r="H173">
        <v>8</v>
      </c>
      <c r="I173">
        <v>203.55</v>
      </c>
      <c r="J173">
        <v>0</v>
      </c>
      <c r="K173">
        <v>166.56</v>
      </c>
    </row>
    <row r="174" spans="1:11" x14ac:dyDescent="0.3">
      <c r="A174" s="1">
        <v>45271</v>
      </c>
      <c r="B174" t="s">
        <v>21</v>
      </c>
      <c r="C174" t="s">
        <v>18</v>
      </c>
      <c r="D174" t="s">
        <v>25</v>
      </c>
      <c r="E174" t="s">
        <v>20</v>
      </c>
      <c r="F174" t="s">
        <v>15</v>
      </c>
      <c r="G174">
        <v>179.25</v>
      </c>
      <c r="H174">
        <v>18</v>
      </c>
      <c r="I174">
        <v>573.85</v>
      </c>
      <c r="J174">
        <v>0</v>
      </c>
      <c r="K174">
        <v>394.6</v>
      </c>
    </row>
    <row r="175" spans="1:11" x14ac:dyDescent="0.3">
      <c r="A175" s="1">
        <v>44957</v>
      </c>
      <c r="B175" t="s">
        <v>21</v>
      </c>
      <c r="C175" t="s">
        <v>18</v>
      </c>
      <c r="D175" t="s">
        <v>13</v>
      </c>
      <c r="E175" t="s">
        <v>20</v>
      </c>
      <c r="F175" t="s">
        <v>22</v>
      </c>
      <c r="G175">
        <v>50.4</v>
      </c>
      <c r="H175">
        <v>15</v>
      </c>
      <c r="I175">
        <v>1049.21</v>
      </c>
      <c r="J175">
        <v>3</v>
      </c>
      <c r="K175">
        <v>949.29</v>
      </c>
    </row>
    <row r="176" spans="1:11" x14ac:dyDescent="0.3">
      <c r="A176" s="1">
        <v>45257</v>
      </c>
      <c r="B176" t="s">
        <v>23</v>
      </c>
      <c r="C176" t="s">
        <v>18</v>
      </c>
      <c r="D176" t="s">
        <v>28</v>
      </c>
      <c r="E176" t="s">
        <v>14</v>
      </c>
      <c r="F176" t="s">
        <v>16</v>
      </c>
      <c r="G176">
        <v>124.7</v>
      </c>
      <c r="H176">
        <v>19</v>
      </c>
      <c r="I176">
        <v>1624.45</v>
      </c>
      <c r="J176">
        <v>0</v>
      </c>
      <c r="K176">
        <v>1499.75</v>
      </c>
    </row>
    <row r="177" spans="1:11" x14ac:dyDescent="0.3">
      <c r="A177" s="1">
        <v>45047</v>
      </c>
      <c r="B177" t="s">
        <v>11</v>
      </c>
      <c r="C177" t="s">
        <v>18</v>
      </c>
      <c r="D177" t="s">
        <v>19</v>
      </c>
      <c r="E177" t="s">
        <v>20</v>
      </c>
      <c r="F177" t="s">
        <v>22</v>
      </c>
      <c r="G177">
        <v>25.33</v>
      </c>
      <c r="H177">
        <v>11</v>
      </c>
      <c r="I177">
        <v>751.66</v>
      </c>
      <c r="J177">
        <v>3</v>
      </c>
      <c r="K177">
        <v>591.86</v>
      </c>
    </row>
    <row r="178" spans="1:11" x14ac:dyDescent="0.3">
      <c r="A178" s="1">
        <v>45031</v>
      </c>
      <c r="B178" t="s">
        <v>11</v>
      </c>
      <c r="C178" t="s">
        <v>18</v>
      </c>
      <c r="D178" t="s">
        <v>28</v>
      </c>
      <c r="E178" t="s">
        <v>20</v>
      </c>
      <c r="F178" t="s">
        <v>15</v>
      </c>
      <c r="G178">
        <v>124.96</v>
      </c>
      <c r="H178">
        <v>4</v>
      </c>
      <c r="I178">
        <v>335.87</v>
      </c>
      <c r="J178">
        <v>2</v>
      </c>
      <c r="K178">
        <v>129.46</v>
      </c>
    </row>
    <row r="179" spans="1:11" x14ac:dyDescent="0.3">
      <c r="A179" s="1">
        <v>45107</v>
      </c>
      <c r="B179" t="s">
        <v>17</v>
      </c>
      <c r="C179" t="s">
        <v>29</v>
      </c>
      <c r="D179" t="s">
        <v>25</v>
      </c>
      <c r="E179" t="s">
        <v>20</v>
      </c>
      <c r="F179" t="s">
        <v>26</v>
      </c>
      <c r="G179">
        <v>155.71</v>
      </c>
      <c r="H179">
        <v>19</v>
      </c>
      <c r="I179">
        <v>439.13</v>
      </c>
      <c r="J179">
        <v>2</v>
      </c>
      <c r="K179">
        <v>214.63</v>
      </c>
    </row>
    <row r="180" spans="1:11" x14ac:dyDescent="0.3">
      <c r="A180" s="1">
        <v>45263</v>
      </c>
      <c r="B180" t="s">
        <v>21</v>
      </c>
      <c r="C180" t="s">
        <v>12</v>
      </c>
      <c r="D180" t="s">
        <v>28</v>
      </c>
      <c r="E180" t="s">
        <v>14</v>
      </c>
      <c r="F180" t="s">
        <v>15</v>
      </c>
      <c r="G180">
        <v>49.35</v>
      </c>
      <c r="H180">
        <v>18</v>
      </c>
      <c r="I180">
        <v>572.26</v>
      </c>
      <c r="J180">
        <v>1</v>
      </c>
      <c r="K180">
        <v>506.83</v>
      </c>
    </row>
    <row r="181" spans="1:11" x14ac:dyDescent="0.3">
      <c r="A181" s="1">
        <v>45016</v>
      </c>
      <c r="B181" t="s">
        <v>11</v>
      </c>
      <c r="C181" t="s">
        <v>29</v>
      </c>
      <c r="D181" t="s">
        <v>19</v>
      </c>
      <c r="E181" t="s">
        <v>14</v>
      </c>
      <c r="F181" t="s">
        <v>15</v>
      </c>
      <c r="G181">
        <v>17.239999999999998</v>
      </c>
      <c r="H181">
        <v>20</v>
      </c>
      <c r="I181">
        <v>1354.4</v>
      </c>
      <c r="J181">
        <v>0</v>
      </c>
      <c r="K181">
        <v>1337.16</v>
      </c>
    </row>
    <row r="182" spans="1:11" x14ac:dyDescent="0.3">
      <c r="A182" s="1">
        <v>44980</v>
      </c>
      <c r="B182" t="s">
        <v>21</v>
      </c>
      <c r="C182" t="s">
        <v>24</v>
      </c>
      <c r="D182" t="s">
        <v>27</v>
      </c>
      <c r="E182" t="s">
        <v>14</v>
      </c>
      <c r="F182" t="s">
        <v>16</v>
      </c>
      <c r="G182">
        <v>53.89</v>
      </c>
      <c r="H182">
        <v>9</v>
      </c>
      <c r="I182">
        <v>448</v>
      </c>
      <c r="J182">
        <v>2</v>
      </c>
      <c r="K182">
        <v>309.92</v>
      </c>
    </row>
    <row r="183" spans="1:11" x14ac:dyDescent="0.3">
      <c r="A183" s="1">
        <v>45247</v>
      </c>
      <c r="B183" t="s">
        <v>23</v>
      </c>
      <c r="C183" t="s">
        <v>29</v>
      </c>
      <c r="D183" t="s">
        <v>19</v>
      </c>
      <c r="E183" t="s">
        <v>20</v>
      </c>
      <c r="F183" t="s">
        <v>15</v>
      </c>
      <c r="G183">
        <v>48.33</v>
      </c>
      <c r="H183">
        <v>5</v>
      </c>
      <c r="I183">
        <v>334.65</v>
      </c>
      <c r="J183">
        <v>1</v>
      </c>
      <c r="K183">
        <v>236.34</v>
      </c>
    </row>
    <row r="184" spans="1:11" x14ac:dyDescent="0.3">
      <c r="A184" s="1">
        <v>45084</v>
      </c>
      <c r="B184" t="s">
        <v>17</v>
      </c>
      <c r="C184" t="s">
        <v>29</v>
      </c>
      <c r="D184" t="s">
        <v>25</v>
      </c>
      <c r="E184" t="s">
        <v>14</v>
      </c>
      <c r="F184" t="s">
        <v>26</v>
      </c>
      <c r="G184">
        <v>47.69</v>
      </c>
      <c r="H184">
        <v>15</v>
      </c>
      <c r="I184">
        <v>802.35</v>
      </c>
      <c r="J184">
        <v>2</v>
      </c>
      <c r="K184">
        <v>711.98</v>
      </c>
    </row>
    <row r="185" spans="1:11" x14ac:dyDescent="0.3">
      <c r="A185" s="1">
        <v>44973</v>
      </c>
      <c r="B185" t="s">
        <v>21</v>
      </c>
      <c r="C185" t="s">
        <v>18</v>
      </c>
      <c r="D185" t="s">
        <v>19</v>
      </c>
      <c r="E185" t="s">
        <v>14</v>
      </c>
      <c r="F185" t="s">
        <v>15</v>
      </c>
      <c r="G185">
        <v>98.57</v>
      </c>
      <c r="H185">
        <v>16</v>
      </c>
      <c r="I185">
        <v>971.42</v>
      </c>
      <c r="J185">
        <v>0</v>
      </c>
      <c r="K185">
        <v>872.85</v>
      </c>
    </row>
    <row r="186" spans="1:11" x14ac:dyDescent="0.3">
      <c r="A186" s="1">
        <v>45125</v>
      </c>
      <c r="B186" t="s">
        <v>17</v>
      </c>
      <c r="C186" t="s">
        <v>12</v>
      </c>
      <c r="D186" t="s">
        <v>25</v>
      </c>
      <c r="E186" t="s">
        <v>20</v>
      </c>
      <c r="F186" t="s">
        <v>26</v>
      </c>
      <c r="G186">
        <v>96.55</v>
      </c>
      <c r="H186">
        <v>12</v>
      </c>
      <c r="I186">
        <v>577.20000000000005</v>
      </c>
      <c r="J186">
        <v>0</v>
      </c>
      <c r="K186">
        <v>480.65</v>
      </c>
    </row>
    <row r="187" spans="1:11" x14ac:dyDescent="0.3">
      <c r="A187" s="1">
        <v>45208</v>
      </c>
      <c r="B187" t="s">
        <v>23</v>
      </c>
      <c r="C187" t="s">
        <v>24</v>
      </c>
      <c r="D187" t="s">
        <v>13</v>
      </c>
      <c r="E187" t="s">
        <v>14</v>
      </c>
      <c r="F187" t="s">
        <v>15</v>
      </c>
      <c r="G187">
        <v>79.28</v>
      </c>
      <c r="H187">
        <v>2</v>
      </c>
      <c r="I187">
        <v>88.81</v>
      </c>
      <c r="J187">
        <v>0</v>
      </c>
      <c r="K187">
        <v>9.5299999999999994</v>
      </c>
    </row>
    <row r="188" spans="1:11" x14ac:dyDescent="0.3">
      <c r="A188" s="1">
        <v>45057</v>
      </c>
      <c r="B188" t="s">
        <v>11</v>
      </c>
      <c r="C188" t="s">
        <v>12</v>
      </c>
      <c r="D188" t="s">
        <v>13</v>
      </c>
      <c r="E188" t="s">
        <v>20</v>
      </c>
      <c r="F188" t="s">
        <v>15</v>
      </c>
      <c r="G188">
        <v>48.32</v>
      </c>
      <c r="H188">
        <v>9</v>
      </c>
      <c r="I188">
        <v>624.30999999999995</v>
      </c>
      <c r="J188">
        <v>0</v>
      </c>
      <c r="K188">
        <v>575.99</v>
      </c>
    </row>
    <row r="189" spans="1:11" x14ac:dyDescent="0.3">
      <c r="A189" s="1">
        <v>44978</v>
      </c>
      <c r="B189" t="s">
        <v>21</v>
      </c>
      <c r="C189" t="s">
        <v>12</v>
      </c>
      <c r="D189" t="s">
        <v>13</v>
      </c>
      <c r="E189" t="s">
        <v>14</v>
      </c>
      <c r="F189" t="s">
        <v>26</v>
      </c>
      <c r="G189">
        <v>7.02</v>
      </c>
      <c r="H189">
        <v>12</v>
      </c>
      <c r="I189">
        <v>157.59</v>
      </c>
      <c r="J189">
        <v>2</v>
      </c>
      <c r="K189">
        <v>95.49</v>
      </c>
    </row>
    <row r="190" spans="1:11" x14ac:dyDescent="0.3">
      <c r="A190" s="1">
        <v>44979</v>
      </c>
      <c r="B190" t="s">
        <v>21</v>
      </c>
      <c r="C190" t="s">
        <v>18</v>
      </c>
      <c r="D190" t="s">
        <v>13</v>
      </c>
      <c r="E190" t="s">
        <v>14</v>
      </c>
      <c r="F190" t="s">
        <v>15</v>
      </c>
      <c r="G190">
        <v>108.68</v>
      </c>
      <c r="H190">
        <v>13</v>
      </c>
      <c r="I190">
        <v>178.19</v>
      </c>
      <c r="J190">
        <v>1</v>
      </c>
      <c r="K190">
        <v>22.11</v>
      </c>
    </row>
    <row r="191" spans="1:11" x14ac:dyDescent="0.3">
      <c r="A191" s="1">
        <v>45204</v>
      </c>
      <c r="B191" t="s">
        <v>23</v>
      </c>
      <c r="C191" t="s">
        <v>29</v>
      </c>
      <c r="D191" t="s">
        <v>19</v>
      </c>
      <c r="E191" t="s">
        <v>14</v>
      </c>
      <c r="F191" t="s">
        <v>26</v>
      </c>
      <c r="G191">
        <v>70.59</v>
      </c>
      <c r="H191">
        <v>6</v>
      </c>
      <c r="I191">
        <v>574.49</v>
      </c>
      <c r="J191">
        <v>0</v>
      </c>
      <c r="K191">
        <v>503.9</v>
      </c>
    </row>
    <row r="192" spans="1:11" x14ac:dyDescent="0.3">
      <c r="A192" s="1">
        <v>45106</v>
      </c>
      <c r="B192" t="s">
        <v>17</v>
      </c>
      <c r="C192" t="s">
        <v>12</v>
      </c>
      <c r="D192" t="s">
        <v>25</v>
      </c>
      <c r="E192" t="s">
        <v>14</v>
      </c>
      <c r="F192" t="s">
        <v>15</v>
      </c>
      <c r="G192">
        <v>82.18</v>
      </c>
      <c r="H192">
        <v>3</v>
      </c>
      <c r="I192">
        <v>187.05</v>
      </c>
      <c r="J192">
        <v>1</v>
      </c>
      <c r="K192">
        <v>55.87</v>
      </c>
    </row>
    <row r="193" spans="1:11" x14ac:dyDescent="0.3">
      <c r="A193" s="1">
        <v>45219</v>
      </c>
      <c r="B193" t="s">
        <v>23</v>
      </c>
      <c r="C193" t="s">
        <v>12</v>
      </c>
      <c r="D193" t="s">
        <v>28</v>
      </c>
      <c r="E193" t="s">
        <v>20</v>
      </c>
      <c r="F193" t="s">
        <v>15</v>
      </c>
      <c r="G193">
        <v>17.87</v>
      </c>
      <c r="H193">
        <v>2</v>
      </c>
      <c r="I193">
        <v>56.61</v>
      </c>
      <c r="J193">
        <v>0</v>
      </c>
      <c r="K193">
        <v>38.74</v>
      </c>
    </row>
    <row r="194" spans="1:11" x14ac:dyDescent="0.3">
      <c r="A194" s="1">
        <v>45193</v>
      </c>
      <c r="B194" t="s">
        <v>23</v>
      </c>
      <c r="C194" t="s">
        <v>24</v>
      </c>
      <c r="D194" t="s">
        <v>27</v>
      </c>
      <c r="E194" t="s">
        <v>14</v>
      </c>
      <c r="F194" t="s">
        <v>22</v>
      </c>
      <c r="G194">
        <v>92.99</v>
      </c>
      <c r="H194">
        <v>3</v>
      </c>
      <c r="I194">
        <v>225.37</v>
      </c>
      <c r="J194">
        <v>2</v>
      </c>
      <c r="K194">
        <v>38.26</v>
      </c>
    </row>
    <row r="195" spans="1:11" x14ac:dyDescent="0.3">
      <c r="A195" s="1">
        <v>45269</v>
      </c>
      <c r="B195" t="s">
        <v>21</v>
      </c>
      <c r="C195" t="s">
        <v>12</v>
      </c>
      <c r="D195" t="s">
        <v>28</v>
      </c>
      <c r="E195" t="s">
        <v>20</v>
      </c>
      <c r="F195" t="s">
        <v>15</v>
      </c>
      <c r="G195">
        <v>165.85</v>
      </c>
      <c r="H195">
        <v>17</v>
      </c>
      <c r="I195">
        <v>1654.98</v>
      </c>
      <c r="J195">
        <v>1</v>
      </c>
      <c r="K195">
        <v>1442.65</v>
      </c>
    </row>
    <row r="196" spans="1:11" x14ac:dyDescent="0.3">
      <c r="A196" s="1">
        <v>45050</v>
      </c>
      <c r="B196" t="s">
        <v>11</v>
      </c>
      <c r="C196" t="s">
        <v>29</v>
      </c>
      <c r="D196" t="s">
        <v>27</v>
      </c>
      <c r="E196" t="s">
        <v>14</v>
      </c>
      <c r="F196" t="s">
        <v>16</v>
      </c>
      <c r="G196">
        <v>53.14</v>
      </c>
      <c r="H196">
        <v>11</v>
      </c>
      <c r="I196">
        <v>623.87</v>
      </c>
      <c r="J196">
        <v>1</v>
      </c>
      <c r="K196">
        <v>547.47</v>
      </c>
    </row>
    <row r="197" spans="1:11" x14ac:dyDescent="0.3">
      <c r="A197" s="1">
        <v>45065</v>
      </c>
      <c r="B197" t="s">
        <v>11</v>
      </c>
      <c r="C197" t="s">
        <v>24</v>
      </c>
      <c r="D197" t="s">
        <v>13</v>
      </c>
      <c r="E197" t="s">
        <v>14</v>
      </c>
      <c r="F197" t="s">
        <v>16</v>
      </c>
      <c r="G197">
        <v>98.32</v>
      </c>
      <c r="H197">
        <v>18</v>
      </c>
      <c r="I197">
        <v>1098.08</v>
      </c>
      <c r="J197">
        <v>2</v>
      </c>
      <c r="K197">
        <v>924.82</v>
      </c>
    </row>
    <row r="198" spans="1:11" x14ac:dyDescent="0.3">
      <c r="A198" s="1">
        <v>45147</v>
      </c>
      <c r="B198" t="s">
        <v>17</v>
      </c>
      <c r="C198" t="s">
        <v>18</v>
      </c>
      <c r="D198" t="s">
        <v>27</v>
      </c>
      <c r="E198" t="s">
        <v>14</v>
      </c>
      <c r="F198" t="s">
        <v>16</v>
      </c>
      <c r="G198">
        <v>181.77</v>
      </c>
      <c r="H198">
        <v>5</v>
      </c>
      <c r="I198">
        <v>130.13999999999999</v>
      </c>
      <c r="J198">
        <v>0</v>
      </c>
      <c r="K198">
        <v>-51.63</v>
      </c>
    </row>
    <row r="199" spans="1:11" x14ac:dyDescent="0.3">
      <c r="A199" s="1">
        <v>45214</v>
      </c>
      <c r="B199" t="s">
        <v>23</v>
      </c>
      <c r="C199" t="s">
        <v>24</v>
      </c>
      <c r="D199" t="s">
        <v>28</v>
      </c>
      <c r="E199" t="s">
        <v>20</v>
      </c>
      <c r="F199" t="s">
        <v>15</v>
      </c>
      <c r="G199">
        <v>130.88</v>
      </c>
      <c r="H199">
        <v>8</v>
      </c>
      <c r="I199">
        <v>135.29</v>
      </c>
      <c r="J199">
        <v>0</v>
      </c>
      <c r="K199">
        <v>4.41</v>
      </c>
    </row>
    <row r="200" spans="1:11" x14ac:dyDescent="0.3">
      <c r="A200" s="1">
        <v>45035</v>
      </c>
      <c r="B200" t="s">
        <v>11</v>
      </c>
      <c r="C200" t="s">
        <v>12</v>
      </c>
      <c r="D200" t="s">
        <v>28</v>
      </c>
      <c r="E200" t="s">
        <v>20</v>
      </c>
      <c r="F200" t="s">
        <v>15</v>
      </c>
      <c r="G200">
        <v>161.19999999999999</v>
      </c>
      <c r="H200">
        <v>5</v>
      </c>
      <c r="I200">
        <v>177.15</v>
      </c>
      <c r="J200">
        <v>2</v>
      </c>
      <c r="K200">
        <v>-20.62</v>
      </c>
    </row>
    <row r="201" spans="1:11" x14ac:dyDescent="0.3">
      <c r="A201" s="1">
        <v>45041</v>
      </c>
      <c r="B201" t="s">
        <v>11</v>
      </c>
      <c r="C201" t="s">
        <v>12</v>
      </c>
      <c r="D201" t="s">
        <v>28</v>
      </c>
      <c r="E201" t="s">
        <v>14</v>
      </c>
      <c r="F201" t="s">
        <v>26</v>
      </c>
      <c r="G201">
        <v>102.37</v>
      </c>
      <c r="H201">
        <v>12</v>
      </c>
      <c r="I201">
        <v>486.79</v>
      </c>
      <c r="J201">
        <v>0</v>
      </c>
      <c r="K201">
        <v>384.42</v>
      </c>
    </row>
    <row r="202" spans="1:11" x14ac:dyDescent="0.3">
      <c r="A202" s="1">
        <v>45268</v>
      </c>
      <c r="B202" t="s">
        <v>21</v>
      </c>
      <c r="C202" t="s">
        <v>24</v>
      </c>
      <c r="D202" t="s">
        <v>27</v>
      </c>
      <c r="E202" t="s">
        <v>14</v>
      </c>
      <c r="F202" t="s">
        <v>22</v>
      </c>
      <c r="G202">
        <v>191.51</v>
      </c>
      <c r="H202">
        <v>12</v>
      </c>
      <c r="I202">
        <v>1152.98</v>
      </c>
      <c r="J202">
        <v>1</v>
      </c>
      <c r="K202">
        <v>916.2</v>
      </c>
    </row>
    <row r="203" spans="1:11" x14ac:dyDescent="0.3">
      <c r="A203" s="1">
        <v>45086</v>
      </c>
      <c r="B203" t="s">
        <v>17</v>
      </c>
      <c r="C203" t="s">
        <v>18</v>
      </c>
      <c r="D203" t="s">
        <v>27</v>
      </c>
      <c r="E203" t="s">
        <v>20</v>
      </c>
      <c r="F203" t="s">
        <v>15</v>
      </c>
      <c r="G203">
        <v>41.1</v>
      </c>
      <c r="H203">
        <v>15</v>
      </c>
      <c r="I203">
        <v>544.79</v>
      </c>
      <c r="J203">
        <v>3</v>
      </c>
      <c r="K203">
        <v>374.95</v>
      </c>
    </row>
    <row r="204" spans="1:11" x14ac:dyDescent="0.3">
      <c r="A204" s="1">
        <v>44936</v>
      </c>
      <c r="B204" t="s">
        <v>21</v>
      </c>
      <c r="C204" t="s">
        <v>24</v>
      </c>
      <c r="D204" t="s">
        <v>19</v>
      </c>
      <c r="E204" t="s">
        <v>20</v>
      </c>
      <c r="F204" t="s">
        <v>22</v>
      </c>
      <c r="G204">
        <v>98.85</v>
      </c>
      <c r="H204">
        <v>5</v>
      </c>
      <c r="I204">
        <v>234.78</v>
      </c>
      <c r="J204">
        <v>1</v>
      </c>
      <c r="K204">
        <v>130.63999999999999</v>
      </c>
    </row>
    <row r="205" spans="1:11" x14ac:dyDescent="0.3">
      <c r="A205" s="1">
        <v>45168</v>
      </c>
      <c r="B205" t="s">
        <v>17</v>
      </c>
      <c r="C205" t="s">
        <v>29</v>
      </c>
      <c r="D205" t="s">
        <v>13</v>
      </c>
      <c r="E205" t="s">
        <v>14</v>
      </c>
      <c r="F205" t="s">
        <v>26</v>
      </c>
      <c r="G205">
        <v>54.55</v>
      </c>
      <c r="H205">
        <v>17</v>
      </c>
      <c r="I205">
        <v>1468.43</v>
      </c>
      <c r="J205">
        <v>2</v>
      </c>
      <c r="K205">
        <v>1348.44</v>
      </c>
    </row>
    <row r="206" spans="1:11" x14ac:dyDescent="0.3">
      <c r="A206" s="1">
        <v>45252</v>
      </c>
      <c r="B206" t="s">
        <v>23</v>
      </c>
      <c r="C206" t="s">
        <v>29</v>
      </c>
      <c r="D206" t="s">
        <v>13</v>
      </c>
      <c r="E206" t="s">
        <v>14</v>
      </c>
      <c r="F206" t="s">
        <v>16</v>
      </c>
      <c r="G206">
        <v>116.56</v>
      </c>
      <c r="H206">
        <v>6</v>
      </c>
      <c r="I206">
        <v>437.26</v>
      </c>
      <c r="J206">
        <v>2</v>
      </c>
      <c r="K206">
        <v>309.14999999999998</v>
      </c>
    </row>
    <row r="207" spans="1:11" x14ac:dyDescent="0.3">
      <c r="A207" s="1">
        <v>45233</v>
      </c>
      <c r="B207" t="s">
        <v>23</v>
      </c>
      <c r="C207" t="s">
        <v>29</v>
      </c>
      <c r="D207" t="s">
        <v>25</v>
      </c>
      <c r="E207" t="s">
        <v>14</v>
      </c>
      <c r="F207" t="s">
        <v>16</v>
      </c>
      <c r="G207">
        <v>32.83</v>
      </c>
      <c r="H207">
        <v>8</v>
      </c>
      <c r="I207">
        <v>649.29999999999995</v>
      </c>
      <c r="J207">
        <v>2</v>
      </c>
      <c r="K207">
        <v>605.28</v>
      </c>
    </row>
    <row r="208" spans="1:11" x14ac:dyDescent="0.3">
      <c r="A208" s="1">
        <v>45291</v>
      </c>
      <c r="B208" t="s">
        <v>21</v>
      </c>
      <c r="C208" t="s">
        <v>24</v>
      </c>
      <c r="D208" t="s">
        <v>19</v>
      </c>
      <c r="E208" t="s">
        <v>14</v>
      </c>
      <c r="F208" t="s">
        <v>15</v>
      </c>
      <c r="G208">
        <v>166.26</v>
      </c>
      <c r="H208">
        <v>20</v>
      </c>
      <c r="I208">
        <v>386.38</v>
      </c>
      <c r="J208">
        <v>0</v>
      </c>
      <c r="K208">
        <v>220.12</v>
      </c>
    </row>
    <row r="209" spans="1:11" x14ac:dyDescent="0.3">
      <c r="A209" s="1">
        <v>45272</v>
      </c>
      <c r="B209" t="s">
        <v>21</v>
      </c>
      <c r="C209" t="s">
        <v>12</v>
      </c>
      <c r="D209" t="s">
        <v>19</v>
      </c>
      <c r="E209" t="s">
        <v>20</v>
      </c>
      <c r="F209" t="s">
        <v>22</v>
      </c>
      <c r="G209">
        <v>158.93</v>
      </c>
      <c r="H209">
        <v>5</v>
      </c>
      <c r="I209">
        <v>164.55</v>
      </c>
      <c r="J209">
        <v>2</v>
      </c>
      <c r="K209">
        <v>-14.79</v>
      </c>
    </row>
    <row r="210" spans="1:11" x14ac:dyDescent="0.3">
      <c r="A210" s="1">
        <v>45139</v>
      </c>
      <c r="B210" t="s">
        <v>17</v>
      </c>
      <c r="C210" t="s">
        <v>29</v>
      </c>
      <c r="D210" t="s">
        <v>19</v>
      </c>
      <c r="E210" t="s">
        <v>20</v>
      </c>
      <c r="F210" t="s">
        <v>26</v>
      </c>
      <c r="G210">
        <v>116.79</v>
      </c>
      <c r="H210">
        <v>18</v>
      </c>
      <c r="I210">
        <v>520.97</v>
      </c>
      <c r="J210">
        <v>0</v>
      </c>
      <c r="K210">
        <v>404.18</v>
      </c>
    </row>
    <row r="211" spans="1:11" x14ac:dyDescent="0.3">
      <c r="A211" s="1">
        <v>45221</v>
      </c>
      <c r="B211" t="s">
        <v>23</v>
      </c>
      <c r="C211" t="s">
        <v>24</v>
      </c>
      <c r="D211" t="s">
        <v>25</v>
      </c>
      <c r="E211" t="s">
        <v>14</v>
      </c>
      <c r="F211" t="s">
        <v>22</v>
      </c>
      <c r="G211">
        <v>85.7</v>
      </c>
      <c r="H211">
        <v>16</v>
      </c>
      <c r="I211">
        <v>314.92</v>
      </c>
      <c r="J211">
        <v>3</v>
      </c>
      <c r="K211">
        <v>97.93</v>
      </c>
    </row>
    <row r="212" spans="1:11" x14ac:dyDescent="0.3">
      <c r="A212" s="1">
        <v>45134</v>
      </c>
      <c r="B212" t="s">
        <v>17</v>
      </c>
      <c r="C212" t="s">
        <v>24</v>
      </c>
      <c r="D212" t="s">
        <v>19</v>
      </c>
      <c r="E212" t="s">
        <v>20</v>
      </c>
      <c r="F212" t="s">
        <v>16</v>
      </c>
      <c r="G212">
        <v>29.82</v>
      </c>
      <c r="H212">
        <v>15</v>
      </c>
      <c r="I212">
        <v>1061.92</v>
      </c>
      <c r="J212">
        <v>1</v>
      </c>
      <c r="K212">
        <v>994.65</v>
      </c>
    </row>
    <row r="213" spans="1:11" x14ac:dyDescent="0.3">
      <c r="A213" s="1">
        <v>45198</v>
      </c>
      <c r="B213" t="s">
        <v>23</v>
      </c>
      <c r="C213" t="s">
        <v>29</v>
      </c>
      <c r="D213" t="s">
        <v>27</v>
      </c>
      <c r="E213" t="s">
        <v>20</v>
      </c>
      <c r="F213" t="s">
        <v>16</v>
      </c>
      <c r="G213">
        <v>110.39</v>
      </c>
      <c r="H213">
        <v>6</v>
      </c>
      <c r="I213">
        <v>433.34</v>
      </c>
      <c r="J213">
        <v>1</v>
      </c>
      <c r="K213">
        <v>297.08999999999997</v>
      </c>
    </row>
    <row r="214" spans="1:11" x14ac:dyDescent="0.3">
      <c r="A214" s="1">
        <v>45265</v>
      </c>
      <c r="B214" t="s">
        <v>21</v>
      </c>
      <c r="C214" t="s">
        <v>24</v>
      </c>
      <c r="D214" t="s">
        <v>25</v>
      </c>
      <c r="E214" t="s">
        <v>14</v>
      </c>
      <c r="F214" t="s">
        <v>26</v>
      </c>
      <c r="G214">
        <v>44.45</v>
      </c>
      <c r="H214">
        <v>13</v>
      </c>
      <c r="I214">
        <v>552.79999999999995</v>
      </c>
      <c r="J214">
        <v>2</v>
      </c>
      <c r="K214">
        <v>480.67</v>
      </c>
    </row>
    <row r="215" spans="1:11" x14ac:dyDescent="0.3">
      <c r="A215" s="1">
        <v>45247</v>
      </c>
      <c r="B215" t="s">
        <v>23</v>
      </c>
      <c r="C215" t="s">
        <v>24</v>
      </c>
      <c r="D215" t="s">
        <v>19</v>
      </c>
      <c r="E215" t="s">
        <v>20</v>
      </c>
      <c r="F215" t="s">
        <v>16</v>
      </c>
      <c r="G215">
        <v>139.04</v>
      </c>
      <c r="H215">
        <v>18</v>
      </c>
      <c r="I215">
        <v>1664.28</v>
      </c>
      <c r="J215">
        <v>2</v>
      </c>
      <c r="K215">
        <v>1435.66</v>
      </c>
    </row>
    <row r="216" spans="1:11" x14ac:dyDescent="0.3">
      <c r="A216" s="1">
        <v>45107</v>
      </c>
      <c r="B216" t="s">
        <v>17</v>
      </c>
      <c r="C216" t="s">
        <v>18</v>
      </c>
      <c r="D216" t="s">
        <v>25</v>
      </c>
      <c r="E216" t="s">
        <v>14</v>
      </c>
      <c r="F216" t="s">
        <v>15</v>
      </c>
      <c r="G216">
        <v>133.47999999999999</v>
      </c>
      <c r="H216">
        <v>8</v>
      </c>
      <c r="I216">
        <v>758.41</v>
      </c>
      <c r="J216">
        <v>1</v>
      </c>
      <c r="K216">
        <v>591.73</v>
      </c>
    </row>
    <row r="217" spans="1:11" x14ac:dyDescent="0.3">
      <c r="A217" s="1">
        <v>45287</v>
      </c>
      <c r="B217" t="s">
        <v>21</v>
      </c>
      <c r="C217" t="s">
        <v>24</v>
      </c>
      <c r="D217" t="s">
        <v>27</v>
      </c>
      <c r="E217" t="s">
        <v>20</v>
      </c>
      <c r="F217" t="s">
        <v>22</v>
      </c>
      <c r="G217">
        <v>70.36</v>
      </c>
      <c r="H217">
        <v>17</v>
      </c>
      <c r="I217">
        <v>1017.8</v>
      </c>
      <c r="J217">
        <v>2</v>
      </c>
      <c r="K217">
        <v>919.31</v>
      </c>
    </row>
    <row r="218" spans="1:11" x14ac:dyDescent="0.3">
      <c r="A218" s="1">
        <v>45058</v>
      </c>
      <c r="B218" t="s">
        <v>11</v>
      </c>
      <c r="C218" t="s">
        <v>29</v>
      </c>
      <c r="D218" t="s">
        <v>28</v>
      </c>
      <c r="E218" t="s">
        <v>20</v>
      </c>
      <c r="F218" t="s">
        <v>16</v>
      </c>
      <c r="G218">
        <v>181.81</v>
      </c>
      <c r="H218">
        <v>15</v>
      </c>
      <c r="I218">
        <v>972.65</v>
      </c>
      <c r="J218">
        <v>3</v>
      </c>
      <c r="K218">
        <v>772.3</v>
      </c>
    </row>
    <row r="219" spans="1:11" x14ac:dyDescent="0.3">
      <c r="A219" s="1">
        <v>45086</v>
      </c>
      <c r="B219" t="s">
        <v>17</v>
      </c>
      <c r="C219" t="s">
        <v>29</v>
      </c>
      <c r="D219" t="s">
        <v>28</v>
      </c>
      <c r="E219" t="s">
        <v>14</v>
      </c>
      <c r="F219" t="s">
        <v>22</v>
      </c>
      <c r="G219">
        <v>90.69</v>
      </c>
      <c r="H219">
        <v>16</v>
      </c>
      <c r="I219">
        <v>1464.58</v>
      </c>
      <c r="J219">
        <v>3</v>
      </c>
      <c r="K219">
        <v>1251.56</v>
      </c>
    </row>
    <row r="220" spans="1:11" x14ac:dyDescent="0.3">
      <c r="A220" s="1">
        <v>45247</v>
      </c>
      <c r="B220" t="s">
        <v>23</v>
      </c>
      <c r="C220" t="s">
        <v>29</v>
      </c>
      <c r="D220" t="s">
        <v>25</v>
      </c>
      <c r="E220" t="s">
        <v>20</v>
      </c>
      <c r="F220" t="s">
        <v>22</v>
      </c>
      <c r="G220">
        <v>22.62</v>
      </c>
      <c r="H220">
        <v>10</v>
      </c>
      <c r="I220">
        <v>891.53</v>
      </c>
      <c r="J220">
        <v>2</v>
      </c>
      <c r="K220">
        <v>828.01</v>
      </c>
    </row>
    <row r="221" spans="1:11" x14ac:dyDescent="0.3">
      <c r="A221" s="1">
        <v>44939</v>
      </c>
      <c r="B221" t="s">
        <v>21</v>
      </c>
      <c r="C221" t="s">
        <v>18</v>
      </c>
      <c r="D221" t="s">
        <v>25</v>
      </c>
      <c r="E221" t="s">
        <v>20</v>
      </c>
      <c r="F221" t="s">
        <v>26</v>
      </c>
      <c r="G221">
        <v>136.44</v>
      </c>
      <c r="H221">
        <v>8</v>
      </c>
      <c r="I221">
        <v>788.41</v>
      </c>
      <c r="J221">
        <v>3</v>
      </c>
      <c r="K221">
        <v>512.87</v>
      </c>
    </row>
    <row r="222" spans="1:11" x14ac:dyDescent="0.3">
      <c r="A222" s="1">
        <v>45118</v>
      </c>
      <c r="B222" t="s">
        <v>17</v>
      </c>
      <c r="C222" t="s">
        <v>29</v>
      </c>
      <c r="D222" t="s">
        <v>25</v>
      </c>
      <c r="E222" t="s">
        <v>14</v>
      </c>
      <c r="F222" t="s">
        <v>26</v>
      </c>
      <c r="G222">
        <v>160.26</v>
      </c>
      <c r="H222">
        <v>16</v>
      </c>
      <c r="I222">
        <v>206.48</v>
      </c>
      <c r="J222">
        <v>1</v>
      </c>
      <c r="K222">
        <v>6.21</v>
      </c>
    </row>
    <row r="223" spans="1:11" x14ac:dyDescent="0.3">
      <c r="A223" s="1">
        <v>45062</v>
      </c>
      <c r="B223" t="s">
        <v>11</v>
      </c>
      <c r="C223" t="s">
        <v>12</v>
      </c>
      <c r="D223" t="s">
        <v>25</v>
      </c>
      <c r="E223" t="s">
        <v>20</v>
      </c>
      <c r="F223" t="s">
        <v>15</v>
      </c>
      <c r="G223">
        <v>82.87</v>
      </c>
      <c r="H223">
        <v>13</v>
      </c>
      <c r="I223">
        <v>635.4</v>
      </c>
      <c r="J223">
        <v>2</v>
      </c>
      <c r="K223">
        <v>515.39</v>
      </c>
    </row>
    <row r="224" spans="1:11" x14ac:dyDescent="0.3">
      <c r="A224" s="1">
        <v>45133</v>
      </c>
      <c r="B224" t="s">
        <v>17</v>
      </c>
      <c r="C224" t="s">
        <v>12</v>
      </c>
      <c r="D224" t="s">
        <v>13</v>
      </c>
      <c r="E224" t="s">
        <v>14</v>
      </c>
      <c r="F224" t="s">
        <v>26</v>
      </c>
      <c r="G224">
        <v>166.65</v>
      </c>
      <c r="H224">
        <v>3</v>
      </c>
      <c r="I224">
        <v>179.24</v>
      </c>
      <c r="J224">
        <v>3</v>
      </c>
      <c r="K224">
        <v>-64.16</v>
      </c>
    </row>
    <row r="225" spans="1:11" x14ac:dyDescent="0.3">
      <c r="A225" s="1">
        <v>45141</v>
      </c>
      <c r="B225" t="s">
        <v>17</v>
      </c>
      <c r="C225" t="s">
        <v>18</v>
      </c>
      <c r="D225" t="s">
        <v>13</v>
      </c>
      <c r="E225" t="s">
        <v>20</v>
      </c>
      <c r="F225" t="s">
        <v>26</v>
      </c>
      <c r="G225">
        <v>114.26</v>
      </c>
      <c r="H225">
        <v>6</v>
      </c>
      <c r="I225">
        <v>76.03</v>
      </c>
      <c r="J225">
        <v>1</v>
      </c>
      <c r="K225">
        <v>-44.83</v>
      </c>
    </row>
    <row r="226" spans="1:11" x14ac:dyDescent="0.3">
      <c r="A226" s="1">
        <v>45041</v>
      </c>
      <c r="B226" t="s">
        <v>11</v>
      </c>
      <c r="C226" t="s">
        <v>29</v>
      </c>
      <c r="D226" t="s">
        <v>27</v>
      </c>
      <c r="E226" t="s">
        <v>14</v>
      </c>
      <c r="F226" t="s">
        <v>26</v>
      </c>
      <c r="G226">
        <v>163.87</v>
      </c>
      <c r="H226">
        <v>1</v>
      </c>
      <c r="I226">
        <v>13.83</v>
      </c>
      <c r="J226">
        <v>1</v>
      </c>
      <c r="K226">
        <v>-181.55</v>
      </c>
    </row>
    <row r="227" spans="1:11" x14ac:dyDescent="0.3">
      <c r="A227" s="1">
        <v>45044</v>
      </c>
      <c r="B227" t="s">
        <v>11</v>
      </c>
      <c r="C227" t="s">
        <v>18</v>
      </c>
      <c r="D227" t="s">
        <v>25</v>
      </c>
      <c r="E227" t="s">
        <v>20</v>
      </c>
      <c r="F227" t="s">
        <v>15</v>
      </c>
      <c r="G227">
        <v>60.35</v>
      </c>
      <c r="H227">
        <v>4</v>
      </c>
      <c r="I227">
        <v>242.6</v>
      </c>
      <c r="J227">
        <v>3</v>
      </c>
      <c r="K227">
        <v>103.98</v>
      </c>
    </row>
    <row r="228" spans="1:11" x14ac:dyDescent="0.3">
      <c r="A228" s="1">
        <v>45053</v>
      </c>
      <c r="B228" t="s">
        <v>11</v>
      </c>
      <c r="C228" t="s">
        <v>12</v>
      </c>
      <c r="D228" t="s">
        <v>27</v>
      </c>
      <c r="E228" t="s">
        <v>14</v>
      </c>
      <c r="F228" t="s">
        <v>22</v>
      </c>
      <c r="G228">
        <v>128.87</v>
      </c>
      <c r="H228">
        <v>3</v>
      </c>
      <c r="I228">
        <v>148.69</v>
      </c>
      <c r="J228">
        <v>0</v>
      </c>
      <c r="K228">
        <v>19.82</v>
      </c>
    </row>
    <row r="229" spans="1:11" x14ac:dyDescent="0.3">
      <c r="A229" s="1">
        <v>45290</v>
      </c>
      <c r="B229" t="s">
        <v>21</v>
      </c>
      <c r="C229" t="s">
        <v>29</v>
      </c>
      <c r="D229" t="s">
        <v>25</v>
      </c>
      <c r="E229" t="s">
        <v>20</v>
      </c>
      <c r="F229" t="s">
        <v>22</v>
      </c>
      <c r="G229">
        <v>76.510000000000005</v>
      </c>
      <c r="H229">
        <v>12</v>
      </c>
      <c r="I229">
        <v>1139.67</v>
      </c>
      <c r="J229">
        <v>2</v>
      </c>
      <c r="K229">
        <v>1017.52</v>
      </c>
    </row>
    <row r="230" spans="1:11" x14ac:dyDescent="0.3">
      <c r="A230" s="1">
        <v>45202</v>
      </c>
      <c r="B230" t="s">
        <v>23</v>
      </c>
      <c r="C230" t="s">
        <v>18</v>
      </c>
      <c r="D230" t="s">
        <v>19</v>
      </c>
      <c r="E230" t="s">
        <v>14</v>
      </c>
      <c r="F230" t="s">
        <v>26</v>
      </c>
      <c r="G230">
        <v>172.5</v>
      </c>
      <c r="H230">
        <v>12</v>
      </c>
      <c r="I230">
        <v>479.52</v>
      </c>
      <c r="J230">
        <v>3</v>
      </c>
      <c r="K230">
        <v>256.7</v>
      </c>
    </row>
    <row r="231" spans="1:11" x14ac:dyDescent="0.3">
      <c r="A231" s="1">
        <v>44993</v>
      </c>
      <c r="B231" t="s">
        <v>11</v>
      </c>
      <c r="C231" t="s">
        <v>18</v>
      </c>
      <c r="D231" t="s">
        <v>13</v>
      </c>
      <c r="E231" t="s">
        <v>20</v>
      </c>
      <c r="F231" t="s">
        <v>26</v>
      </c>
      <c r="G231">
        <v>124.91</v>
      </c>
      <c r="H231">
        <v>16</v>
      </c>
      <c r="I231">
        <v>493.96</v>
      </c>
      <c r="J231">
        <v>2</v>
      </c>
      <c r="K231">
        <v>322.57</v>
      </c>
    </row>
    <row r="232" spans="1:11" x14ac:dyDescent="0.3">
      <c r="A232" s="1">
        <v>45105</v>
      </c>
      <c r="B232" t="s">
        <v>17</v>
      </c>
      <c r="C232" t="s">
        <v>24</v>
      </c>
      <c r="D232" t="s">
        <v>25</v>
      </c>
      <c r="E232" t="s">
        <v>20</v>
      </c>
      <c r="F232" t="s">
        <v>22</v>
      </c>
      <c r="G232">
        <v>100.51</v>
      </c>
      <c r="H232">
        <v>4</v>
      </c>
      <c r="I232">
        <v>81.63</v>
      </c>
      <c r="J232">
        <v>3</v>
      </c>
      <c r="K232">
        <v>-48.21</v>
      </c>
    </row>
    <row r="233" spans="1:11" x14ac:dyDescent="0.3">
      <c r="A233" s="1">
        <v>45093</v>
      </c>
      <c r="B233" t="s">
        <v>17</v>
      </c>
      <c r="C233" t="s">
        <v>29</v>
      </c>
      <c r="D233" t="s">
        <v>13</v>
      </c>
      <c r="E233" t="s">
        <v>14</v>
      </c>
      <c r="F233" t="s">
        <v>22</v>
      </c>
      <c r="G233">
        <v>130.97</v>
      </c>
      <c r="H233">
        <v>11</v>
      </c>
      <c r="I233">
        <v>948.39</v>
      </c>
      <c r="J233">
        <v>1</v>
      </c>
      <c r="K233">
        <v>803.07</v>
      </c>
    </row>
    <row r="234" spans="1:11" x14ac:dyDescent="0.3">
      <c r="A234" s="1">
        <v>45083</v>
      </c>
      <c r="B234" t="s">
        <v>17</v>
      </c>
      <c r="C234" t="s">
        <v>12</v>
      </c>
      <c r="D234" t="s">
        <v>13</v>
      </c>
      <c r="E234" t="s">
        <v>20</v>
      </c>
      <c r="F234" t="s">
        <v>22</v>
      </c>
      <c r="G234">
        <v>55.96</v>
      </c>
      <c r="H234">
        <v>3</v>
      </c>
      <c r="I234">
        <v>243.11</v>
      </c>
      <c r="J234">
        <v>0</v>
      </c>
      <c r="K234">
        <v>187.15</v>
      </c>
    </row>
    <row r="235" spans="1:11" x14ac:dyDescent="0.3">
      <c r="A235" s="1">
        <v>45055</v>
      </c>
      <c r="B235" t="s">
        <v>11</v>
      </c>
      <c r="C235" t="s">
        <v>29</v>
      </c>
      <c r="D235" t="s">
        <v>13</v>
      </c>
      <c r="E235" t="s">
        <v>20</v>
      </c>
      <c r="F235" t="s">
        <v>22</v>
      </c>
      <c r="G235">
        <v>130.68</v>
      </c>
      <c r="H235">
        <v>3</v>
      </c>
      <c r="I235">
        <v>55</v>
      </c>
      <c r="J235">
        <v>2</v>
      </c>
      <c r="K235">
        <v>-143.35</v>
      </c>
    </row>
    <row r="236" spans="1:11" x14ac:dyDescent="0.3">
      <c r="A236" s="1">
        <v>45111</v>
      </c>
      <c r="B236" t="s">
        <v>17</v>
      </c>
      <c r="C236" t="s">
        <v>12</v>
      </c>
      <c r="D236" t="s">
        <v>25</v>
      </c>
      <c r="E236" t="s">
        <v>14</v>
      </c>
      <c r="F236" t="s">
        <v>22</v>
      </c>
      <c r="G236">
        <v>144.16</v>
      </c>
      <c r="H236">
        <v>10</v>
      </c>
      <c r="I236">
        <v>946.26</v>
      </c>
      <c r="J236">
        <v>3</v>
      </c>
      <c r="K236">
        <v>786.1</v>
      </c>
    </row>
    <row r="237" spans="1:11" x14ac:dyDescent="0.3">
      <c r="A237" s="1">
        <v>45290</v>
      </c>
      <c r="B237" t="s">
        <v>21</v>
      </c>
      <c r="C237" t="s">
        <v>29</v>
      </c>
      <c r="D237" t="s">
        <v>13</v>
      </c>
      <c r="E237" t="s">
        <v>14</v>
      </c>
      <c r="F237" t="s">
        <v>26</v>
      </c>
      <c r="G237">
        <v>163.07</v>
      </c>
      <c r="H237">
        <v>10</v>
      </c>
      <c r="I237">
        <v>521.24</v>
      </c>
      <c r="J237">
        <v>2</v>
      </c>
      <c r="K237">
        <v>343.7</v>
      </c>
    </row>
    <row r="238" spans="1:11" x14ac:dyDescent="0.3">
      <c r="A238" s="1">
        <v>45043</v>
      </c>
      <c r="B238" t="s">
        <v>11</v>
      </c>
      <c r="C238" t="s">
        <v>18</v>
      </c>
      <c r="D238" t="s">
        <v>25</v>
      </c>
      <c r="E238" t="s">
        <v>14</v>
      </c>
      <c r="F238" t="s">
        <v>15</v>
      </c>
      <c r="G238">
        <v>33.340000000000003</v>
      </c>
      <c r="H238">
        <v>6</v>
      </c>
      <c r="I238">
        <v>181.27</v>
      </c>
      <c r="J238">
        <v>2</v>
      </c>
      <c r="K238">
        <v>73.34</v>
      </c>
    </row>
    <row r="239" spans="1:11" x14ac:dyDescent="0.3">
      <c r="A239" s="1">
        <v>45003</v>
      </c>
      <c r="B239" t="s">
        <v>11</v>
      </c>
      <c r="C239" t="s">
        <v>18</v>
      </c>
      <c r="D239" t="s">
        <v>13</v>
      </c>
      <c r="E239" t="s">
        <v>20</v>
      </c>
      <c r="F239" t="s">
        <v>26</v>
      </c>
      <c r="G239">
        <v>183.62</v>
      </c>
      <c r="H239">
        <v>15</v>
      </c>
      <c r="I239">
        <v>817.43</v>
      </c>
      <c r="J239">
        <v>0</v>
      </c>
      <c r="K239">
        <v>633.80999999999995</v>
      </c>
    </row>
    <row r="240" spans="1:11" x14ac:dyDescent="0.3">
      <c r="A240" s="1">
        <v>44949</v>
      </c>
      <c r="B240" t="s">
        <v>21</v>
      </c>
      <c r="C240" t="s">
        <v>24</v>
      </c>
      <c r="D240" t="s">
        <v>19</v>
      </c>
      <c r="E240" t="s">
        <v>20</v>
      </c>
      <c r="F240" t="s">
        <v>26</v>
      </c>
      <c r="G240">
        <v>18.670000000000002</v>
      </c>
      <c r="H240">
        <v>11</v>
      </c>
      <c r="I240">
        <v>568.58000000000004</v>
      </c>
      <c r="J240">
        <v>0</v>
      </c>
      <c r="K240">
        <v>549.91</v>
      </c>
    </row>
    <row r="241" spans="1:11" x14ac:dyDescent="0.3">
      <c r="A241" s="1">
        <v>44974</v>
      </c>
      <c r="B241" t="s">
        <v>21</v>
      </c>
      <c r="C241" t="s">
        <v>29</v>
      </c>
      <c r="D241" t="s">
        <v>28</v>
      </c>
      <c r="E241" t="s">
        <v>14</v>
      </c>
      <c r="F241" t="s">
        <v>26</v>
      </c>
      <c r="G241">
        <v>103.67</v>
      </c>
      <c r="H241">
        <v>11</v>
      </c>
      <c r="I241">
        <v>1052.43</v>
      </c>
      <c r="J241">
        <v>3</v>
      </c>
      <c r="K241">
        <v>835.32</v>
      </c>
    </row>
    <row r="242" spans="1:11" x14ac:dyDescent="0.3">
      <c r="A242" s="1">
        <v>44963</v>
      </c>
      <c r="B242" t="s">
        <v>21</v>
      </c>
      <c r="C242" t="s">
        <v>24</v>
      </c>
      <c r="D242" t="s">
        <v>28</v>
      </c>
      <c r="E242" t="s">
        <v>14</v>
      </c>
      <c r="F242" t="s">
        <v>16</v>
      </c>
      <c r="G242">
        <v>73.8</v>
      </c>
      <c r="H242">
        <v>13</v>
      </c>
      <c r="I242">
        <v>412.86</v>
      </c>
      <c r="J242">
        <v>3</v>
      </c>
      <c r="K242">
        <v>301.89</v>
      </c>
    </row>
    <row r="243" spans="1:11" x14ac:dyDescent="0.3">
      <c r="A243" s="1">
        <v>45096</v>
      </c>
      <c r="B243" t="s">
        <v>17</v>
      </c>
      <c r="C243" t="s">
        <v>29</v>
      </c>
      <c r="D243" t="s">
        <v>19</v>
      </c>
      <c r="E243" t="s">
        <v>20</v>
      </c>
      <c r="F243" t="s">
        <v>16</v>
      </c>
      <c r="G243">
        <v>165.2</v>
      </c>
      <c r="H243">
        <v>6</v>
      </c>
      <c r="I243">
        <v>326.13</v>
      </c>
      <c r="J243">
        <v>3</v>
      </c>
      <c r="K243">
        <v>52.32</v>
      </c>
    </row>
    <row r="244" spans="1:11" x14ac:dyDescent="0.3">
      <c r="A244" s="1">
        <v>44943</v>
      </c>
      <c r="B244" t="s">
        <v>21</v>
      </c>
      <c r="C244" t="s">
        <v>18</v>
      </c>
      <c r="D244" t="s">
        <v>28</v>
      </c>
      <c r="E244" t="s">
        <v>20</v>
      </c>
      <c r="F244" t="s">
        <v>22</v>
      </c>
      <c r="G244">
        <v>38.299999999999997</v>
      </c>
      <c r="H244">
        <v>17</v>
      </c>
      <c r="I244">
        <v>1540.98</v>
      </c>
      <c r="J244">
        <v>3</v>
      </c>
      <c r="K244">
        <v>1353.34</v>
      </c>
    </row>
    <row r="245" spans="1:11" x14ac:dyDescent="0.3">
      <c r="A245" s="1">
        <v>45105</v>
      </c>
      <c r="B245" t="s">
        <v>17</v>
      </c>
      <c r="C245" t="s">
        <v>29</v>
      </c>
      <c r="D245" t="s">
        <v>25</v>
      </c>
      <c r="E245" t="s">
        <v>20</v>
      </c>
      <c r="F245" t="s">
        <v>22</v>
      </c>
      <c r="G245">
        <v>6.05</v>
      </c>
      <c r="H245">
        <v>10</v>
      </c>
      <c r="I245">
        <v>480.67</v>
      </c>
      <c r="J245">
        <v>1</v>
      </c>
      <c r="K245">
        <v>452.34</v>
      </c>
    </row>
    <row r="246" spans="1:11" x14ac:dyDescent="0.3">
      <c r="A246" s="1">
        <v>45287</v>
      </c>
      <c r="B246" t="s">
        <v>21</v>
      </c>
      <c r="C246" t="s">
        <v>12</v>
      </c>
      <c r="D246" t="s">
        <v>13</v>
      </c>
      <c r="E246" t="s">
        <v>14</v>
      </c>
      <c r="F246" t="s">
        <v>16</v>
      </c>
      <c r="G246">
        <v>98.32</v>
      </c>
      <c r="H246">
        <v>12</v>
      </c>
      <c r="I246">
        <v>472.45</v>
      </c>
      <c r="J246">
        <v>2</v>
      </c>
      <c r="K246">
        <v>306.08999999999997</v>
      </c>
    </row>
    <row r="247" spans="1:11" x14ac:dyDescent="0.3">
      <c r="A247" s="1">
        <v>45018</v>
      </c>
      <c r="B247" t="s">
        <v>11</v>
      </c>
      <c r="C247" t="s">
        <v>18</v>
      </c>
      <c r="D247" t="s">
        <v>28</v>
      </c>
      <c r="E247" t="s">
        <v>14</v>
      </c>
      <c r="F247" t="s">
        <v>22</v>
      </c>
      <c r="G247">
        <v>93.1</v>
      </c>
      <c r="H247">
        <v>4</v>
      </c>
      <c r="I247">
        <v>72.099999999999994</v>
      </c>
      <c r="J247">
        <v>0</v>
      </c>
      <c r="K247">
        <v>-21</v>
      </c>
    </row>
    <row r="248" spans="1:11" x14ac:dyDescent="0.3">
      <c r="A248" s="1">
        <v>44946</v>
      </c>
      <c r="B248" t="s">
        <v>21</v>
      </c>
      <c r="C248" t="s">
        <v>24</v>
      </c>
      <c r="D248" t="s">
        <v>27</v>
      </c>
      <c r="E248" t="s">
        <v>14</v>
      </c>
      <c r="F248" t="s">
        <v>15</v>
      </c>
      <c r="G248">
        <v>30.74</v>
      </c>
      <c r="H248">
        <v>14</v>
      </c>
      <c r="I248">
        <v>337.26</v>
      </c>
      <c r="J248">
        <v>1</v>
      </c>
      <c r="K248">
        <v>275.31</v>
      </c>
    </row>
    <row r="249" spans="1:11" x14ac:dyDescent="0.3">
      <c r="A249" s="1">
        <v>45199</v>
      </c>
      <c r="B249" t="s">
        <v>23</v>
      </c>
      <c r="C249" t="s">
        <v>24</v>
      </c>
      <c r="D249" t="s">
        <v>19</v>
      </c>
      <c r="E249" t="s">
        <v>20</v>
      </c>
      <c r="F249" t="s">
        <v>15</v>
      </c>
      <c r="G249">
        <v>173.85</v>
      </c>
      <c r="H249">
        <v>10</v>
      </c>
      <c r="I249">
        <v>138.11000000000001</v>
      </c>
      <c r="J249">
        <v>0</v>
      </c>
      <c r="K249">
        <v>-35.74</v>
      </c>
    </row>
    <row r="250" spans="1:11" x14ac:dyDescent="0.3">
      <c r="A250" s="1">
        <v>45008</v>
      </c>
      <c r="B250" t="s">
        <v>11</v>
      </c>
      <c r="C250" t="s">
        <v>12</v>
      </c>
      <c r="D250" t="s">
        <v>27</v>
      </c>
      <c r="E250" t="s">
        <v>20</v>
      </c>
      <c r="F250" t="s">
        <v>22</v>
      </c>
      <c r="G250">
        <v>76.14</v>
      </c>
      <c r="H250">
        <v>20</v>
      </c>
      <c r="I250">
        <v>1792.41</v>
      </c>
      <c r="J250">
        <v>0</v>
      </c>
      <c r="K250">
        <v>1716.27</v>
      </c>
    </row>
    <row r="251" spans="1:11" x14ac:dyDescent="0.3">
      <c r="A251" s="1">
        <v>45204</v>
      </c>
      <c r="B251" t="s">
        <v>23</v>
      </c>
      <c r="C251" t="s">
        <v>29</v>
      </c>
      <c r="D251" t="s">
        <v>19</v>
      </c>
      <c r="E251" t="s">
        <v>14</v>
      </c>
      <c r="F251" t="s">
        <v>16</v>
      </c>
      <c r="G251">
        <v>135.25</v>
      </c>
      <c r="H251">
        <v>17</v>
      </c>
      <c r="I251">
        <v>292</v>
      </c>
      <c r="J251">
        <v>1</v>
      </c>
      <c r="K251">
        <v>149.74</v>
      </c>
    </row>
    <row r="252" spans="1:11" x14ac:dyDescent="0.3">
      <c r="A252" s="1">
        <v>45006</v>
      </c>
      <c r="B252" t="s">
        <v>11</v>
      </c>
      <c r="C252" t="s">
        <v>18</v>
      </c>
      <c r="D252" t="s">
        <v>25</v>
      </c>
      <c r="E252" t="s">
        <v>20</v>
      </c>
      <c r="F252" t="s">
        <v>16</v>
      </c>
      <c r="G252">
        <v>124.44</v>
      </c>
      <c r="H252">
        <v>3</v>
      </c>
      <c r="I252">
        <v>268.95999999999998</v>
      </c>
      <c r="J252">
        <v>3</v>
      </c>
      <c r="K252">
        <v>52.58</v>
      </c>
    </row>
    <row r="253" spans="1:11" x14ac:dyDescent="0.3">
      <c r="A253" s="1">
        <v>45224</v>
      </c>
      <c r="B253" t="s">
        <v>23</v>
      </c>
      <c r="C253" t="s">
        <v>24</v>
      </c>
      <c r="D253" t="s">
        <v>27</v>
      </c>
      <c r="E253" t="s">
        <v>20</v>
      </c>
      <c r="F253" t="s">
        <v>15</v>
      </c>
      <c r="G253">
        <v>183.18</v>
      </c>
      <c r="H253">
        <v>9</v>
      </c>
      <c r="I253">
        <v>617.01</v>
      </c>
      <c r="J253">
        <v>2</v>
      </c>
      <c r="K253">
        <v>367.21</v>
      </c>
    </row>
    <row r="254" spans="1:11" x14ac:dyDescent="0.3">
      <c r="A254" s="1">
        <v>44931</v>
      </c>
      <c r="B254" t="s">
        <v>21</v>
      </c>
      <c r="C254" t="s">
        <v>12</v>
      </c>
      <c r="D254" t="s">
        <v>28</v>
      </c>
      <c r="E254" t="s">
        <v>14</v>
      </c>
      <c r="F254" t="s">
        <v>26</v>
      </c>
      <c r="G254">
        <v>131.13999999999999</v>
      </c>
      <c r="H254">
        <v>19</v>
      </c>
      <c r="I254">
        <v>326.97000000000003</v>
      </c>
      <c r="J254">
        <v>1</v>
      </c>
      <c r="K254">
        <v>173.5</v>
      </c>
    </row>
    <row r="255" spans="1:11" x14ac:dyDescent="0.3">
      <c r="A255" s="1">
        <v>45084</v>
      </c>
      <c r="B255" t="s">
        <v>17</v>
      </c>
      <c r="C255" t="s">
        <v>18</v>
      </c>
      <c r="D255" t="s">
        <v>25</v>
      </c>
      <c r="E255" t="s">
        <v>20</v>
      </c>
      <c r="F255" t="s">
        <v>15</v>
      </c>
      <c r="G255">
        <v>175.76</v>
      </c>
      <c r="H255">
        <v>19</v>
      </c>
      <c r="I255">
        <v>1088.04</v>
      </c>
      <c r="J255">
        <v>1</v>
      </c>
      <c r="K255">
        <v>885.24</v>
      </c>
    </row>
    <row r="256" spans="1:11" x14ac:dyDescent="0.3">
      <c r="A256" s="1">
        <v>45059</v>
      </c>
      <c r="B256" t="s">
        <v>11</v>
      </c>
      <c r="C256" t="s">
        <v>18</v>
      </c>
      <c r="D256" t="s">
        <v>19</v>
      </c>
      <c r="E256" t="s">
        <v>14</v>
      </c>
      <c r="F256" t="s">
        <v>22</v>
      </c>
      <c r="G256">
        <v>83.78</v>
      </c>
      <c r="H256">
        <v>4</v>
      </c>
      <c r="I256">
        <v>184.8</v>
      </c>
      <c r="J256">
        <v>1</v>
      </c>
      <c r="K256">
        <v>58.47</v>
      </c>
    </row>
    <row r="257" spans="1:11" x14ac:dyDescent="0.3">
      <c r="A257" s="1">
        <v>45053</v>
      </c>
      <c r="B257" t="s">
        <v>11</v>
      </c>
      <c r="C257" t="s">
        <v>24</v>
      </c>
      <c r="D257" t="s">
        <v>13</v>
      </c>
      <c r="E257" t="s">
        <v>14</v>
      </c>
      <c r="F257" t="s">
        <v>22</v>
      </c>
      <c r="G257">
        <v>182.43</v>
      </c>
      <c r="H257">
        <v>18</v>
      </c>
      <c r="I257">
        <v>706.33</v>
      </c>
      <c r="J257">
        <v>1</v>
      </c>
      <c r="K257">
        <v>489.65</v>
      </c>
    </row>
    <row r="258" spans="1:11" x14ac:dyDescent="0.3">
      <c r="A258" s="1">
        <v>45220</v>
      </c>
      <c r="B258" t="s">
        <v>23</v>
      </c>
      <c r="C258" t="s">
        <v>12</v>
      </c>
      <c r="D258" t="s">
        <v>19</v>
      </c>
      <c r="E258" t="s">
        <v>14</v>
      </c>
      <c r="F258" t="s">
        <v>22</v>
      </c>
      <c r="G258">
        <v>40.340000000000003</v>
      </c>
      <c r="H258">
        <v>4</v>
      </c>
      <c r="I258">
        <v>332.93</v>
      </c>
      <c r="J258">
        <v>3</v>
      </c>
      <c r="K258">
        <v>169.41</v>
      </c>
    </row>
    <row r="259" spans="1:11" x14ac:dyDescent="0.3">
      <c r="A259" s="1">
        <v>45035</v>
      </c>
      <c r="B259" t="s">
        <v>11</v>
      </c>
      <c r="C259" t="s">
        <v>29</v>
      </c>
      <c r="D259" t="s">
        <v>28</v>
      </c>
      <c r="E259" t="s">
        <v>14</v>
      </c>
      <c r="F259" t="s">
        <v>16</v>
      </c>
      <c r="G259">
        <v>52.22</v>
      </c>
      <c r="H259">
        <v>11</v>
      </c>
      <c r="I259">
        <v>123.52</v>
      </c>
      <c r="J259">
        <v>3</v>
      </c>
      <c r="K259">
        <v>19.649999999999999</v>
      </c>
    </row>
    <row r="260" spans="1:11" x14ac:dyDescent="0.3">
      <c r="A260" s="1">
        <v>45268</v>
      </c>
      <c r="B260" t="s">
        <v>21</v>
      </c>
      <c r="C260" t="s">
        <v>12</v>
      </c>
      <c r="D260" t="s">
        <v>25</v>
      </c>
      <c r="E260" t="s">
        <v>20</v>
      </c>
      <c r="F260" t="s">
        <v>26</v>
      </c>
      <c r="G260">
        <v>113.65</v>
      </c>
      <c r="H260">
        <v>14</v>
      </c>
      <c r="I260">
        <v>276.04000000000002</v>
      </c>
      <c r="J260">
        <v>0</v>
      </c>
      <c r="K260">
        <v>162.38999999999999</v>
      </c>
    </row>
    <row r="261" spans="1:11" x14ac:dyDescent="0.3">
      <c r="A261" s="1">
        <v>45043</v>
      </c>
      <c r="B261" t="s">
        <v>11</v>
      </c>
      <c r="C261" t="s">
        <v>12</v>
      </c>
      <c r="D261" t="s">
        <v>28</v>
      </c>
      <c r="E261" t="s">
        <v>20</v>
      </c>
      <c r="F261" t="s">
        <v>16</v>
      </c>
      <c r="G261">
        <v>26.73</v>
      </c>
      <c r="H261">
        <v>20</v>
      </c>
      <c r="I261">
        <v>307.63</v>
      </c>
      <c r="J261">
        <v>3</v>
      </c>
      <c r="K261">
        <v>179.23</v>
      </c>
    </row>
    <row r="262" spans="1:11" x14ac:dyDescent="0.3">
      <c r="A262" s="1">
        <v>45191</v>
      </c>
      <c r="B262" t="s">
        <v>23</v>
      </c>
      <c r="C262" t="s">
        <v>29</v>
      </c>
      <c r="D262" t="s">
        <v>13</v>
      </c>
      <c r="E262" t="s">
        <v>14</v>
      </c>
      <c r="F262" t="s">
        <v>15</v>
      </c>
      <c r="G262">
        <v>175.46</v>
      </c>
      <c r="H262">
        <v>17</v>
      </c>
      <c r="I262">
        <v>1167.07</v>
      </c>
      <c r="J262">
        <v>0</v>
      </c>
      <c r="K262">
        <v>991.61</v>
      </c>
    </row>
    <row r="263" spans="1:11" x14ac:dyDescent="0.3">
      <c r="A263" s="1">
        <v>44993</v>
      </c>
      <c r="B263" t="s">
        <v>11</v>
      </c>
      <c r="C263" t="s">
        <v>12</v>
      </c>
      <c r="D263" t="s">
        <v>13</v>
      </c>
      <c r="E263" t="s">
        <v>20</v>
      </c>
      <c r="F263" t="s">
        <v>15</v>
      </c>
      <c r="G263">
        <v>16.38</v>
      </c>
      <c r="H263">
        <v>19</v>
      </c>
      <c r="I263">
        <v>330.95</v>
      </c>
      <c r="J263">
        <v>1</v>
      </c>
      <c r="K263">
        <v>277.25</v>
      </c>
    </row>
    <row r="264" spans="1:11" x14ac:dyDescent="0.3">
      <c r="A264" s="1">
        <v>45044</v>
      </c>
      <c r="B264" t="s">
        <v>11</v>
      </c>
      <c r="C264" t="s">
        <v>24</v>
      </c>
      <c r="D264" t="s">
        <v>19</v>
      </c>
      <c r="E264" t="s">
        <v>14</v>
      </c>
      <c r="F264" t="s">
        <v>22</v>
      </c>
      <c r="G264">
        <v>162.31</v>
      </c>
      <c r="H264">
        <v>4</v>
      </c>
      <c r="I264">
        <v>320.99</v>
      </c>
      <c r="J264">
        <v>2</v>
      </c>
      <c r="K264">
        <v>121.59</v>
      </c>
    </row>
    <row r="265" spans="1:11" x14ac:dyDescent="0.3">
      <c r="A265" s="1">
        <v>45176</v>
      </c>
      <c r="B265" t="s">
        <v>23</v>
      </c>
      <c r="C265" t="s">
        <v>29</v>
      </c>
      <c r="D265" t="s">
        <v>13</v>
      </c>
      <c r="E265" t="s">
        <v>20</v>
      </c>
      <c r="F265" t="s">
        <v>16</v>
      </c>
      <c r="G265">
        <v>89.94</v>
      </c>
      <c r="H265">
        <v>1</v>
      </c>
      <c r="I265">
        <v>89.19</v>
      </c>
      <c r="J265">
        <v>1</v>
      </c>
      <c r="K265">
        <v>-9.44</v>
      </c>
    </row>
    <row r="266" spans="1:11" x14ac:dyDescent="0.3">
      <c r="A266" s="1">
        <v>45260</v>
      </c>
      <c r="B266" t="s">
        <v>23</v>
      </c>
      <c r="C266" t="s">
        <v>12</v>
      </c>
      <c r="D266" t="s">
        <v>19</v>
      </c>
      <c r="E266" t="s">
        <v>14</v>
      </c>
      <c r="F266" t="s">
        <v>22</v>
      </c>
      <c r="G266">
        <v>162.85</v>
      </c>
      <c r="H266">
        <v>6</v>
      </c>
      <c r="I266">
        <v>188.05</v>
      </c>
      <c r="J266">
        <v>0</v>
      </c>
      <c r="K266">
        <v>25.2</v>
      </c>
    </row>
    <row r="267" spans="1:11" x14ac:dyDescent="0.3">
      <c r="A267" s="1">
        <v>44947</v>
      </c>
      <c r="B267" t="s">
        <v>21</v>
      </c>
      <c r="C267" t="s">
        <v>18</v>
      </c>
      <c r="D267" t="s">
        <v>13</v>
      </c>
      <c r="E267" t="s">
        <v>14</v>
      </c>
      <c r="F267" t="s">
        <v>15</v>
      </c>
      <c r="G267">
        <v>115.01</v>
      </c>
      <c r="H267">
        <v>6</v>
      </c>
      <c r="I267">
        <v>384.78</v>
      </c>
      <c r="J267">
        <v>1</v>
      </c>
      <c r="K267">
        <v>238.41</v>
      </c>
    </row>
    <row r="268" spans="1:11" x14ac:dyDescent="0.3">
      <c r="A268" s="1">
        <v>45260</v>
      </c>
      <c r="B268" t="s">
        <v>23</v>
      </c>
      <c r="C268" t="s">
        <v>18</v>
      </c>
      <c r="D268" t="s">
        <v>19</v>
      </c>
      <c r="E268" t="s">
        <v>20</v>
      </c>
      <c r="F268" t="s">
        <v>22</v>
      </c>
      <c r="G268">
        <v>120.71</v>
      </c>
      <c r="H268">
        <v>5</v>
      </c>
      <c r="I268">
        <v>389.05</v>
      </c>
      <c r="J268">
        <v>0</v>
      </c>
      <c r="K268">
        <v>268.33999999999997</v>
      </c>
    </row>
    <row r="269" spans="1:11" x14ac:dyDescent="0.3">
      <c r="A269" s="1">
        <v>45140</v>
      </c>
      <c r="B269" t="s">
        <v>17</v>
      </c>
      <c r="C269" t="s">
        <v>18</v>
      </c>
      <c r="D269" t="s">
        <v>25</v>
      </c>
      <c r="E269" t="s">
        <v>14</v>
      </c>
      <c r="F269" t="s">
        <v>16</v>
      </c>
      <c r="G269">
        <v>102.23</v>
      </c>
      <c r="H269">
        <v>6</v>
      </c>
      <c r="I269">
        <v>338.96</v>
      </c>
      <c r="J269">
        <v>3</v>
      </c>
      <c r="K269">
        <v>194.09</v>
      </c>
    </row>
    <row r="270" spans="1:11" x14ac:dyDescent="0.3">
      <c r="A270" s="1">
        <v>45249</v>
      </c>
      <c r="B270" t="s">
        <v>23</v>
      </c>
      <c r="C270" t="s">
        <v>29</v>
      </c>
      <c r="D270" t="s">
        <v>28</v>
      </c>
      <c r="E270" t="s">
        <v>20</v>
      </c>
      <c r="F270" t="s">
        <v>22</v>
      </c>
      <c r="G270">
        <v>91.63</v>
      </c>
      <c r="H270">
        <v>14</v>
      </c>
      <c r="I270">
        <v>1293.0899999999999</v>
      </c>
      <c r="J270">
        <v>2</v>
      </c>
      <c r="K270">
        <v>1175.73</v>
      </c>
    </row>
    <row r="271" spans="1:11" x14ac:dyDescent="0.3">
      <c r="A271" s="1">
        <v>45093</v>
      </c>
      <c r="B271" t="s">
        <v>17</v>
      </c>
      <c r="C271" t="s">
        <v>18</v>
      </c>
      <c r="D271" t="s">
        <v>28</v>
      </c>
      <c r="E271" t="s">
        <v>14</v>
      </c>
      <c r="F271" t="s">
        <v>16</v>
      </c>
      <c r="G271">
        <v>65.22</v>
      </c>
      <c r="H271">
        <v>13</v>
      </c>
      <c r="I271">
        <v>1135.56</v>
      </c>
      <c r="J271">
        <v>3</v>
      </c>
      <c r="K271">
        <v>966.72</v>
      </c>
    </row>
    <row r="272" spans="1:11" x14ac:dyDescent="0.3">
      <c r="A272" s="1">
        <v>45110</v>
      </c>
      <c r="B272" t="s">
        <v>17</v>
      </c>
      <c r="C272" t="s">
        <v>24</v>
      </c>
      <c r="D272" t="s">
        <v>27</v>
      </c>
      <c r="E272" t="s">
        <v>20</v>
      </c>
      <c r="F272" t="s">
        <v>16</v>
      </c>
      <c r="G272">
        <v>98.61</v>
      </c>
      <c r="H272">
        <v>16</v>
      </c>
      <c r="I272">
        <v>937.05</v>
      </c>
      <c r="J272">
        <v>2</v>
      </c>
      <c r="K272">
        <v>768.68</v>
      </c>
    </row>
    <row r="273" spans="1:11" x14ac:dyDescent="0.3">
      <c r="A273" s="1">
        <v>45203</v>
      </c>
      <c r="B273" t="s">
        <v>23</v>
      </c>
      <c r="C273" t="s">
        <v>24</v>
      </c>
      <c r="D273" t="s">
        <v>27</v>
      </c>
      <c r="E273" t="s">
        <v>14</v>
      </c>
      <c r="F273" t="s">
        <v>22</v>
      </c>
      <c r="G273">
        <v>127.39</v>
      </c>
      <c r="H273">
        <v>1</v>
      </c>
      <c r="I273">
        <v>22</v>
      </c>
      <c r="J273">
        <v>0</v>
      </c>
      <c r="K273">
        <v>-105.39</v>
      </c>
    </row>
    <row r="274" spans="1:11" x14ac:dyDescent="0.3">
      <c r="A274" s="1">
        <v>45080</v>
      </c>
      <c r="B274" t="s">
        <v>17</v>
      </c>
      <c r="C274" t="s">
        <v>24</v>
      </c>
      <c r="D274" t="s">
        <v>19</v>
      </c>
      <c r="E274" t="s">
        <v>20</v>
      </c>
      <c r="F274" t="s">
        <v>15</v>
      </c>
      <c r="G274">
        <v>16.45</v>
      </c>
      <c r="H274">
        <v>1</v>
      </c>
      <c r="I274">
        <v>45.77</v>
      </c>
      <c r="J274">
        <v>0</v>
      </c>
      <c r="K274">
        <v>29.32</v>
      </c>
    </row>
    <row r="275" spans="1:11" x14ac:dyDescent="0.3">
      <c r="A275" s="1">
        <v>45280</v>
      </c>
      <c r="B275" t="s">
        <v>21</v>
      </c>
      <c r="C275" t="s">
        <v>29</v>
      </c>
      <c r="D275" t="s">
        <v>13</v>
      </c>
      <c r="E275" t="s">
        <v>20</v>
      </c>
      <c r="F275" t="s">
        <v>22</v>
      </c>
      <c r="G275">
        <v>62.47</v>
      </c>
      <c r="H275">
        <v>7</v>
      </c>
      <c r="I275">
        <v>632.37</v>
      </c>
      <c r="J275">
        <v>2</v>
      </c>
      <c r="K275">
        <v>521.04</v>
      </c>
    </row>
    <row r="276" spans="1:11" x14ac:dyDescent="0.3">
      <c r="A276" s="1">
        <v>45201</v>
      </c>
      <c r="B276" t="s">
        <v>23</v>
      </c>
      <c r="C276" t="s">
        <v>24</v>
      </c>
      <c r="D276" t="s">
        <v>27</v>
      </c>
      <c r="E276" t="s">
        <v>14</v>
      </c>
      <c r="F276" t="s">
        <v>16</v>
      </c>
      <c r="G276">
        <v>100.98</v>
      </c>
      <c r="H276">
        <v>15</v>
      </c>
      <c r="I276">
        <v>163.80000000000001</v>
      </c>
      <c r="J276">
        <v>3</v>
      </c>
      <c r="K276">
        <v>26.67</v>
      </c>
    </row>
    <row r="277" spans="1:11" x14ac:dyDescent="0.3">
      <c r="A277" s="1">
        <v>44981</v>
      </c>
      <c r="B277" t="s">
        <v>21</v>
      </c>
      <c r="C277" t="s">
        <v>12</v>
      </c>
      <c r="D277" t="s">
        <v>13</v>
      </c>
      <c r="E277" t="s">
        <v>20</v>
      </c>
      <c r="F277" t="s">
        <v>16</v>
      </c>
      <c r="G277">
        <v>176.15</v>
      </c>
      <c r="H277">
        <v>20</v>
      </c>
      <c r="I277">
        <v>1045.0899999999999</v>
      </c>
      <c r="J277">
        <v>2</v>
      </c>
      <c r="K277">
        <v>791.28</v>
      </c>
    </row>
    <row r="278" spans="1:11" x14ac:dyDescent="0.3">
      <c r="A278" s="1">
        <v>45028</v>
      </c>
      <c r="B278" t="s">
        <v>11</v>
      </c>
      <c r="C278" t="s">
        <v>18</v>
      </c>
      <c r="D278" t="s">
        <v>27</v>
      </c>
      <c r="E278" t="s">
        <v>20</v>
      </c>
      <c r="F278" t="s">
        <v>22</v>
      </c>
      <c r="G278">
        <v>43.55</v>
      </c>
      <c r="H278">
        <v>7</v>
      </c>
      <c r="I278">
        <v>692.45</v>
      </c>
      <c r="J278">
        <v>0</v>
      </c>
      <c r="K278">
        <v>648.9</v>
      </c>
    </row>
    <row r="279" spans="1:11" x14ac:dyDescent="0.3">
      <c r="A279" s="1">
        <v>44928</v>
      </c>
      <c r="B279" t="s">
        <v>21</v>
      </c>
      <c r="C279" t="s">
        <v>29</v>
      </c>
      <c r="D279" t="s">
        <v>27</v>
      </c>
      <c r="E279" t="s">
        <v>14</v>
      </c>
      <c r="F279" t="s">
        <v>15</v>
      </c>
      <c r="G279">
        <v>162.31</v>
      </c>
      <c r="H279">
        <v>15</v>
      </c>
      <c r="I279">
        <v>922.06</v>
      </c>
      <c r="J279">
        <v>0</v>
      </c>
      <c r="K279">
        <v>759.75</v>
      </c>
    </row>
    <row r="280" spans="1:11" x14ac:dyDescent="0.3">
      <c r="A280" s="1">
        <v>45114</v>
      </c>
      <c r="B280" t="s">
        <v>17</v>
      </c>
      <c r="C280" t="s">
        <v>12</v>
      </c>
      <c r="D280" t="s">
        <v>13</v>
      </c>
      <c r="E280" t="s">
        <v>20</v>
      </c>
      <c r="F280" t="s">
        <v>26</v>
      </c>
      <c r="G280">
        <v>164.39</v>
      </c>
      <c r="H280">
        <v>9</v>
      </c>
      <c r="I280">
        <v>814.3</v>
      </c>
      <c r="J280">
        <v>1</v>
      </c>
      <c r="K280">
        <v>611.79999999999995</v>
      </c>
    </row>
    <row r="281" spans="1:11" x14ac:dyDescent="0.3">
      <c r="A281" s="1">
        <v>45147</v>
      </c>
      <c r="B281" t="s">
        <v>17</v>
      </c>
      <c r="C281" t="s">
        <v>24</v>
      </c>
      <c r="D281" t="s">
        <v>27</v>
      </c>
      <c r="E281" t="s">
        <v>20</v>
      </c>
      <c r="F281" t="s">
        <v>22</v>
      </c>
      <c r="G281">
        <v>37.68</v>
      </c>
      <c r="H281">
        <v>10</v>
      </c>
      <c r="I281">
        <v>551.29</v>
      </c>
      <c r="J281">
        <v>3</v>
      </c>
      <c r="K281">
        <v>364.82</v>
      </c>
    </row>
    <row r="282" spans="1:11" x14ac:dyDescent="0.3">
      <c r="A282" s="1">
        <v>45111</v>
      </c>
      <c r="B282" t="s">
        <v>17</v>
      </c>
      <c r="C282" t="s">
        <v>29</v>
      </c>
      <c r="D282" t="s">
        <v>19</v>
      </c>
      <c r="E282" t="s">
        <v>20</v>
      </c>
      <c r="F282" t="s">
        <v>22</v>
      </c>
      <c r="G282">
        <v>68.650000000000006</v>
      </c>
      <c r="H282">
        <v>7</v>
      </c>
      <c r="I282">
        <v>171.98</v>
      </c>
      <c r="J282">
        <v>3</v>
      </c>
      <c r="K282">
        <v>10.53</v>
      </c>
    </row>
    <row r="283" spans="1:11" x14ac:dyDescent="0.3">
      <c r="A283" s="1">
        <v>45090</v>
      </c>
      <c r="B283" t="s">
        <v>17</v>
      </c>
      <c r="C283" t="s">
        <v>18</v>
      </c>
      <c r="D283" t="s">
        <v>27</v>
      </c>
      <c r="E283" t="s">
        <v>14</v>
      </c>
      <c r="F283" t="s">
        <v>15</v>
      </c>
      <c r="G283">
        <v>84.53</v>
      </c>
      <c r="H283">
        <v>10</v>
      </c>
      <c r="I283">
        <v>646.64</v>
      </c>
      <c r="J283">
        <v>2</v>
      </c>
      <c r="K283">
        <v>502.71</v>
      </c>
    </row>
    <row r="284" spans="1:11" x14ac:dyDescent="0.3">
      <c r="A284" s="1">
        <v>45273</v>
      </c>
      <c r="B284" t="s">
        <v>21</v>
      </c>
      <c r="C284" t="s">
        <v>29</v>
      </c>
      <c r="D284" t="s">
        <v>25</v>
      </c>
      <c r="E284" t="s">
        <v>14</v>
      </c>
      <c r="F284" t="s">
        <v>15</v>
      </c>
      <c r="G284">
        <v>10.15</v>
      </c>
      <c r="H284">
        <v>5</v>
      </c>
      <c r="I284">
        <v>393.03</v>
      </c>
      <c r="J284">
        <v>2</v>
      </c>
      <c r="K284">
        <v>365.97</v>
      </c>
    </row>
    <row r="285" spans="1:11" x14ac:dyDescent="0.3">
      <c r="A285" s="1">
        <v>45024</v>
      </c>
      <c r="B285" t="s">
        <v>11</v>
      </c>
      <c r="C285" t="s">
        <v>24</v>
      </c>
      <c r="D285" t="s">
        <v>28</v>
      </c>
      <c r="E285" t="s">
        <v>14</v>
      </c>
      <c r="F285" t="s">
        <v>26</v>
      </c>
      <c r="G285">
        <v>190.87</v>
      </c>
      <c r="H285">
        <v>10</v>
      </c>
      <c r="I285">
        <v>960.45</v>
      </c>
      <c r="J285">
        <v>2</v>
      </c>
      <c r="K285">
        <v>674.58</v>
      </c>
    </row>
    <row r="286" spans="1:11" x14ac:dyDescent="0.3">
      <c r="A286" s="1">
        <v>45088</v>
      </c>
      <c r="B286" t="s">
        <v>17</v>
      </c>
      <c r="C286" t="s">
        <v>24</v>
      </c>
      <c r="D286" t="s">
        <v>13</v>
      </c>
      <c r="E286" t="s">
        <v>20</v>
      </c>
      <c r="F286" t="s">
        <v>15</v>
      </c>
      <c r="G286">
        <v>157.38999999999999</v>
      </c>
      <c r="H286">
        <v>18</v>
      </c>
      <c r="I286">
        <v>1720.31</v>
      </c>
      <c r="J286">
        <v>3</v>
      </c>
      <c r="K286">
        <v>1445.87</v>
      </c>
    </row>
    <row r="287" spans="1:11" x14ac:dyDescent="0.3">
      <c r="A287" s="1">
        <v>45263</v>
      </c>
      <c r="B287" t="s">
        <v>21</v>
      </c>
      <c r="C287" t="s">
        <v>29</v>
      </c>
      <c r="D287" t="s">
        <v>27</v>
      </c>
      <c r="E287" t="s">
        <v>14</v>
      </c>
      <c r="F287" t="s">
        <v>22</v>
      </c>
      <c r="G287">
        <v>56.9</v>
      </c>
      <c r="H287">
        <v>13</v>
      </c>
      <c r="I287">
        <v>919.55</v>
      </c>
      <c r="J287">
        <v>0</v>
      </c>
      <c r="K287">
        <v>862.65</v>
      </c>
    </row>
    <row r="288" spans="1:11" x14ac:dyDescent="0.3">
      <c r="A288" s="1">
        <v>45278</v>
      </c>
      <c r="B288" t="s">
        <v>21</v>
      </c>
      <c r="C288" t="s">
        <v>24</v>
      </c>
      <c r="D288" t="s">
        <v>13</v>
      </c>
      <c r="E288" t="s">
        <v>20</v>
      </c>
      <c r="F288" t="s">
        <v>22</v>
      </c>
      <c r="G288">
        <v>118.37</v>
      </c>
      <c r="H288">
        <v>12</v>
      </c>
      <c r="I288">
        <v>966.76</v>
      </c>
      <c r="J288">
        <v>3</v>
      </c>
      <c r="K288">
        <v>826.95</v>
      </c>
    </row>
    <row r="289" spans="1:11" x14ac:dyDescent="0.3">
      <c r="A289" s="1">
        <v>45102</v>
      </c>
      <c r="B289" t="s">
        <v>17</v>
      </c>
      <c r="C289" t="s">
        <v>12</v>
      </c>
      <c r="D289" t="s">
        <v>27</v>
      </c>
      <c r="E289" t="s">
        <v>20</v>
      </c>
      <c r="F289" t="s">
        <v>22</v>
      </c>
      <c r="G289">
        <v>79.14</v>
      </c>
      <c r="H289">
        <v>12</v>
      </c>
      <c r="I289">
        <v>299.17</v>
      </c>
      <c r="J289">
        <v>1</v>
      </c>
      <c r="K289">
        <v>172.75</v>
      </c>
    </row>
    <row r="290" spans="1:11" x14ac:dyDescent="0.3">
      <c r="A290" s="1">
        <v>45167</v>
      </c>
      <c r="B290" t="s">
        <v>17</v>
      </c>
      <c r="C290" t="s">
        <v>12</v>
      </c>
      <c r="D290" t="s">
        <v>19</v>
      </c>
      <c r="E290" t="s">
        <v>14</v>
      </c>
      <c r="F290" t="s">
        <v>22</v>
      </c>
      <c r="G290">
        <v>80.040000000000006</v>
      </c>
      <c r="H290">
        <v>8</v>
      </c>
      <c r="I290">
        <v>608.32000000000005</v>
      </c>
      <c r="J290">
        <v>1</v>
      </c>
      <c r="K290">
        <v>495.03</v>
      </c>
    </row>
    <row r="291" spans="1:11" x14ac:dyDescent="0.3">
      <c r="A291" s="1">
        <v>45047</v>
      </c>
      <c r="B291" t="s">
        <v>11</v>
      </c>
      <c r="C291" t="s">
        <v>24</v>
      </c>
      <c r="D291" t="s">
        <v>19</v>
      </c>
      <c r="E291" t="s">
        <v>20</v>
      </c>
      <c r="F291" t="s">
        <v>26</v>
      </c>
      <c r="G291">
        <v>23.31</v>
      </c>
      <c r="H291">
        <v>2</v>
      </c>
      <c r="I291">
        <v>164.93</v>
      </c>
      <c r="J291">
        <v>0</v>
      </c>
      <c r="K291">
        <v>141.62</v>
      </c>
    </row>
    <row r="292" spans="1:11" x14ac:dyDescent="0.3">
      <c r="A292" s="1">
        <v>45288</v>
      </c>
      <c r="B292" t="s">
        <v>21</v>
      </c>
      <c r="C292" t="s">
        <v>18</v>
      </c>
      <c r="D292" t="s">
        <v>27</v>
      </c>
      <c r="E292" t="s">
        <v>14</v>
      </c>
      <c r="F292" t="s">
        <v>15</v>
      </c>
      <c r="G292">
        <v>14.59</v>
      </c>
      <c r="H292">
        <v>3</v>
      </c>
      <c r="I292">
        <v>41.17</v>
      </c>
      <c r="J292">
        <v>1</v>
      </c>
      <c r="K292">
        <v>4.8</v>
      </c>
    </row>
    <row r="293" spans="1:11" x14ac:dyDescent="0.3">
      <c r="A293" s="1">
        <v>45005</v>
      </c>
      <c r="B293" t="s">
        <v>11</v>
      </c>
      <c r="C293" t="s">
        <v>18</v>
      </c>
      <c r="D293" t="s">
        <v>28</v>
      </c>
      <c r="E293" t="s">
        <v>14</v>
      </c>
      <c r="F293" t="s">
        <v>26</v>
      </c>
      <c r="G293">
        <v>59.5</v>
      </c>
      <c r="H293">
        <v>12</v>
      </c>
      <c r="I293">
        <v>945.01</v>
      </c>
      <c r="J293">
        <v>0</v>
      </c>
      <c r="K293">
        <v>885.51</v>
      </c>
    </row>
    <row r="294" spans="1:11" x14ac:dyDescent="0.3">
      <c r="A294" s="1">
        <v>45229</v>
      </c>
      <c r="B294" t="s">
        <v>23</v>
      </c>
      <c r="C294" t="s">
        <v>29</v>
      </c>
      <c r="D294" t="s">
        <v>13</v>
      </c>
      <c r="E294" t="s">
        <v>14</v>
      </c>
      <c r="F294" t="s">
        <v>26</v>
      </c>
      <c r="G294">
        <v>58.11</v>
      </c>
      <c r="H294">
        <v>6</v>
      </c>
      <c r="I294">
        <v>72.319999999999993</v>
      </c>
      <c r="J294">
        <v>3</v>
      </c>
      <c r="K294">
        <v>-25.85</v>
      </c>
    </row>
    <row r="295" spans="1:11" x14ac:dyDescent="0.3">
      <c r="A295" s="1">
        <v>45174</v>
      </c>
      <c r="B295" t="s">
        <v>23</v>
      </c>
      <c r="C295" t="s">
        <v>12</v>
      </c>
      <c r="D295" t="s">
        <v>19</v>
      </c>
      <c r="E295" t="s">
        <v>20</v>
      </c>
      <c r="F295" t="s">
        <v>16</v>
      </c>
      <c r="G295">
        <v>84.97</v>
      </c>
      <c r="H295">
        <v>16</v>
      </c>
      <c r="I295">
        <v>1068.75</v>
      </c>
      <c r="J295">
        <v>2</v>
      </c>
      <c r="K295">
        <v>934.68</v>
      </c>
    </row>
    <row r="296" spans="1:11" x14ac:dyDescent="0.3">
      <c r="A296" s="1">
        <v>44940</v>
      </c>
      <c r="B296" t="s">
        <v>21</v>
      </c>
      <c r="C296" t="s">
        <v>12</v>
      </c>
      <c r="D296" t="s">
        <v>27</v>
      </c>
      <c r="E296" t="s">
        <v>20</v>
      </c>
      <c r="F296" t="s">
        <v>26</v>
      </c>
      <c r="G296">
        <v>154.93</v>
      </c>
      <c r="H296">
        <v>4</v>
      </c>
      <c r="I296">
        <v>374.72</v>
      </c>
      <c r="J296">
        <v>0</v>
      </c>
      <c r="K296">
        <v>219.79</v>
      </c>
    </row>
    <row r="297" spans="1:11" x14ac:dyDescent="0.3">
      <c r="A297" s="1">
        <v>45225</v>
      </c>
      <c r="B297" t="s">
        <v>23</v>
      </c>
      <c r="C297" t="s">
        <v>12</v>
      </c>
      <c r="D297" t="s">
        <v>27</v>
      </c>
      <c r="E297" t="s">
        <v>14</v>
      </c>
      <c r="F297" t="s">
        <v>15</v>
      </c>
      <c r="G297">
        <v>7.56</v>
      </c>
      <c r="H297">
        <v>7</v>
      </c>
      <c r="I297">
        <v>300.14999999999998</v>
      </c>
      <c r="J297">
        <v>3</v>
      </c>
      <c r="K297">
        <v>211.12</v>
      </c>
    </row>
    <row r="298" spans="1:11" x14ac:dyDescent="0.3">
      <c r="A298" s="1">
        <v>45011</v>
      </c>
      <c r="B298" t="s">
        <v>11</v>
      </c>
      <c r="C298" t="s">
        <v>24</v>
      </c>
      <c r="D298" t="s">
        <v>13</v>
      </c>
      <c r="E298" t="s">
        <v>20</v>
      </c>
      <c r="F298" t="s">
        <v>16</v>
      </c>
      <c r="G298">
        <v>61.45</v>
      </c>
      <c r="H298">
        <v>13</v>
      </c>
      <c r="I298">
        <v>668.24</v>
      </c>
      <c r="J298">
        <v>0</v>
      </c>
      <c r="K298">
        <v>606.79</v>
      </c>
    </row>
    <row r="299" spans="1:11" x14ac:dyDescent="0.3">
      <c r="A299" s="1">
        <v>44950</v>
      </c>
      <c r="B299" t="s">
        <v>21</v>
      </c>
      <c r="C299" t="s">
        <v>24</v>
      </c>
      <c r="D299" t="s">
        <v>19</v>
      </c>
      <c r="E299" t="s">
        <v>20</v>
      </c>
      <c r="F299" t="s">
        <v>16</v>
      </c>
      <c r="G299">
        <v>41.24</v>
      </c>
      <c r="H299">
        <v>6</v>
      </c>
      <c r="I299">
        <v>367.21</v>
      </c>
      <c r="J299">
        <v>3</v>
      </c>
      <c r="K299">
        <v>302.87</v>
      </c>
    </row>
    <row r="300" spans="1:11" x14ac:dyDescent="0.3">
      <c r="A300" s="1">
        <v>45016</v>
      </c>
      <c r="B300" t="s">
        <v>11</v>
      </c>
      <c r="C300" t="s">
        <v>12</v>
      </c>
      <c r="D300" t="s">
        <v>27</v>
      </c>
      <c r="E300" t="s">
        <v>20</v>
      </c>
      <c r="F300" t="s">
        <v>22</v>
      </c>
      <c r="G300">
        <v>153.15</v>
      </c>
      <c r="H300">
        <v>13</v>
      </c>
      <c r="I300">
        <v>1296.6099999999999</v>
      </c>
      <c r="J300">
        <v>2</v>
      </c>
      <c r="K300">
        <v>1126.79</v>
      </c>
    </row>
    <row r="301" spans="1:11" x14ac:dyDescent="0.3">
      <c r="A301" s="1">
        <v>44982</v>
      </c>
      <c r="B301" t="s">
        <v>21</v>
      </c>
      <c r="C301" t="s">
        <v>18</v>
      </c>
      <c r="D301" t="s">
        <v>25</v>
      </c>
      <c r="E301" t="s">
        <v>14</v>
      </c>
      <c r="F301" t="s">
        <v>26</v>
      </c>
      <c r="G301">
        <v>121.38</v>
      </c>
      <c r="H301">
        <v>10</v>
      </c>
      <c r="I301">
        <v>990.81</v>
      </c>
      <c r="J301">
        <v>3</v>
      </c>
      <c r="K301">
        <v>762.42</v>
      </c>
    </row>
    <row r="302" spans="1:11" x14ac:dyDescent="0.3">
      <c r="A302" s="1">
        <v>45034</v>
      </c>
      <c r="B302" t="s">
        <v>11</v>
      </c>
      <c r="C302" t="s">
        <v>29</v>
      </c>
      <c r="D302" t="s">
        <v>28</v>
      </c>
      <c r="E302" t="s">
        <v>20</v>
      </c>
      <c r="F302" t="s">
        <v>16</v>
      </c>
      <c r="G302">
        <v>17.73</v>
      </c>
      <c r="H302">
        <v>19</v>
      </c>
      <c r="I302">
        <v>1242.83</v>
      </c>
      <c r="J302">
        <v>3</v>
      </c>
      <c r="K302">
        <v>1098.25</v>
      </c>
    </row>
    <row r="303" spans="1:11" x14ac:dyDescent="0.3">
      <c r="A303" s="1">
        <v>45123</v>
      </c>
      <c r="B303" t="s">
        <v>17</v>
      </c>
      <c r="C303" t="s">
        <v>24</v>
      </c>
      <c r="D303" t="s">
        <v>13</v>
      </c>
      <c r="E303" t="s">
        <v>14</v>
      </c>
      <c r="F303" t="s">
        <v>16</v>
      </c>
      <c r="G303">
        <v>186.9</v>
      </c>
      <c r="H303">
        <v>13</v>
      </c>
      <c r="I303">
        <v>564.29</v>
      </c>
      <c r="J303">
        <v>2</v>
      </c>
      <c r="K303">
        <v>307.52</v>
      </c>
    </row>
    <row r="304" spans="1:11" x14ac:dyDescent="0.3">
      <c r="A304" s="1">
        <v>45269</v>
      </c>
      <c r="B304" t="s">
        <v>21</v>
      </c>
      <c r="C304" t="s">
        <v>12</v>
      </c>
      <c r="D304" t="s">
        <v>27</v>
      </c>
      <c r="E304" t="s">
        <v>20</v>
      </c>
      <c r="F304" t="s">
        <v>22</v>
      </c>
      <c r="G304">
        <v>148.16</v>
      </c>
      <c r="H304">
        <v>19</v>
      </c>
      <c r="I304">
        <v>1868.01</v>
      </c>
      <c r="J304">
        <v>3</v>
      </c>
      <c r="K304">
        <v>1606.76</v>
      </c>
    </row>
    <row r="305" spans="1:11" x14ac:dyDescent="0.3">
      <c r="A305" s="1">
        <v>45065</v>
      </c>
      <c r="B305" t="s">
        <v>11</v>
      </c>
      <c r="C305" t="s">
        <v>18</v>
      </c>
      <c r="D305" t="s">
        <v>25</v>
      </c>
      <c r="E305" t="s">
        <v>20</v>
      </c>
      <c r="F305" t="s">
        <v>26</v>
      </c>
      <c r="G305">
        <v>172.98</v>
      </c>
      <c r="H305">
        <v>12</v>
      </c>
      <c r="I305">
        <v>159.57</v>
      </c>
      <c r="J305">
        <v>1</v>
      </c>
      <c r="K305">
        <v>-46.5</v>
      </c>
    </row>
    <row r="306" spans="1:11" x14ac:dyDescent="0.3">
      <c r="A306" s="1">
        <v>45007</v>
      </c>
      <c r="B306" t="s">
        <v>11</v>
      </c>
      <c r="C306" t="s">
        <v>29</v>
      </c>
      <c r="D306" t="s">
        <v>25</v>
      </c>
      <c r="E306" t="s">
        <v>20</v>
      </c>
      <c r="F306" t="s">
        <v>16</v>
      </c>
      <c r="G306">
        <v>180.45</v>
      </c>
      <c r="H306">
        <v>10</v>
      </c>
      <c r="I306">
        <v>656.23</v>
      </c>
      <c r="J306">
        <v>3</v>
      </c>
      <c r="K306">
        <v>453.55</v>
      </c>
    </row>
    <row r="307" spans="1:11" x14ac:dyDescent="0.3">
      <c r="A307" s="1">
        <v>44995</v>
      </c>
      <c r="B307" t="s">
        <v>11</v>
      </c>
      <c r="C307" t="s">
        <v>12</v>
      </c>
      <c r="D307" t="s">
        <v>19</v>
      </c>
      <c r="E307" t="s">
        <v>14</v>
      </c>
      <c r="F307" t="s">
        <v>15</v>
      </c>
      <c r="G307">
        <v>181.62</v>
      </c>
      <c r="H307">
        <v>9</v>
      </c>
      <c r="I307">
        <v>207.22</v>
      </c>
      <c r="J307">
        <v>1</v>
      </c>
      <c r="K307">
        <v>-8.65</v>
      </c>
    </row>
    <row r="308" spans="1:11" x14ac:dyDescent="0.3">
      <c r="A308" s="1">
        <v>45009</v>
      </c>
      <c r="B308" t="s">
        <v>11</v>
      </c>
      <c r="C308" t="s">
        <v>24</v>
      </c>
      <c r="D308" t="s">
        <v>13</v>
      </c>
      <c r="E308" t="s">
        <v>20</v>
      </c>
      <c r="F308" t="s">
        <v>26</v>
      </c>
      <c r="G308">
        <v>25.25</v>
      </c>
      <c r="H308">
        <v>10</v>
      </c>
      <c r="I308">
        <v>686.19</v>
      </c>
      <c r="J308">
        <v>1</v>
      </c>
      <c r="K308">
        <v>654.29</v>
      </c>
    </row>
    <row r="309" spans="1:11" x14ac:dyDescent="0.3">
      <c r="A309" s="1">
        <v>45251</v>
      </c>
      <c r="B309" t="s">
        <v>23</v>
      </c>
      <c r="C309" t="s">
        <v>24</v>
      </c>
      <c r="D309" t="s">
        <v>27</v>
      </c>
      <c r="E309" t="s">
        <v>14</v>
      </c>
      <c r="F309" t="s">
        <v>15</v>
      </c>
      <c r="G309">
        <v>108.54</v>
      </c>
      <c r="H309">
        <v>7</v>
      </c>
      <c r="I309">
        <v>217.8</v>
      </c>
      <c r="J309">
        <v>0</v>
      </c>
      <c r="K309">
        <v>109.26</v>
      </c>
    </row>
    <row r="310" spans="1:11" x14ac:dyDescent="0.3">
      <c r="A310" s="1">
        <v>45051</v>
      </c>
      <c r="B310" t="s">
        <v>11</v>
      </c>
      <c r="C310" t="s">
        <v>24</v>
      </c>
      <c r="D310" t="s">
        <v>19</v>
      </c>
      <c r="E310" t="s">
        <v>20</v>
      </c>
      <c r="F310" t="s">
        <v>16</v>
      </c>
      <c r="G310">
        <v>42.36</v>
      </c>
      <c r="H310">
        <v>18</v>
      </c>
      <c r="I310">
        <v>1483.73</v>
      </c>
      <c r="J310">
        <v>1</v>
      </c>
      <c r="K310">
        <v>1397.4</v>
      </c>
    </row>
    <row r="311" spans="1:11" x14ac:dyDescent="0.3">
      <c r="A311" s="1">
        <v>44951</v>
      </c>
      <c r="B311" t="s">
        <v>21</v>
      </c>
      <c r="C311" t="s">
        <v>29</v>
      </c>
      <c r="D311" t="s">
        <v>28</v>
      </c>
      <c r="E311" t="s">
        <v>14</v>
      </c>
      <c r="F311" t="s">
        <v>22</v>
      </c>
      <c r="G311">
        <v>68.83</v>
      </c>
      <c r="H311">
        <v>5</v>
      </c>
      <c r="I311">
        <v>145.34</v>
      </c>
      <c r="J311">
        <v>1</v>
      </c>
      <c r="K311">
        <v>40.47</v>
      </c>
    </row>
    <row r="312" spans="1:11" x14ac:dyDescent="0.3">
      <c r="A312" s="1">
        <v>45061</v>
      </c>
      <c r="B312" t="s">
        <v>11</v>
      </c>
      <c r="C312" t="s">
        <v>18</v>
      </c>
      <c r="D312" t="s">
        <v>27</v>
      </c>
      <c r="E312" t="s">
        <v>14</v>
      </c>
      <c r="F312" t="s">
        <v>22</v>
      </c>
      <c r="G312">
        <v>19.89</v>
      </c>
      <c r="H312">
        <v>9</v>
      </c>
      <c r="I312">
        <v>220.16</v>
      </c>
      <c r="J312">
        <v>3</v>
      </c>
      <c r="K312">
        <v>80.14</v>
      </c>
    </row>
    <row r="313" spans="1:11" x14ac:dyDescent="0.3">
      <c r="A313" s="1">
        <v>45195</v>
      </c>
      <c r="B313" t="s">
        <v>23</v>
      </c>
      <c r="C313" t="s">
        <v>29</v>
      </c>
      <c r="D313" t="s">
        <v>19</v>
      </c>
      <c r="E313" t="s">
        <v>14</v>
      </c>
      <c r="F313" t="s">
        <v>26</v>
      </c>
      <c r="G313">
        <v>37.44</v>
      </c>
      <c r="H313">
        <v>12</v>
      </c>
      <c r="I313">
        <v>449.35</v>
      </c>
      <c r="J313">
        <v>1</v>
      </c>
      <c r="K313">
        <v>365.6</v>
      </c>
    </row>
    <row r="314" spans="1:11" x14ac:dyDescent="0.3">
      <c r="A314" s="1">
        <v>45133</v>
      </c>
      <c r="B314" t="s">
        <v>17</v>
      </c>
      <c r="C314" t="s">
        <v>18</v>
      </c>
      <c r="D314" t="s">
        <v>19</v>
      </c>
      <c r="E314" t="s">
        <v>20</v>
      </c>
      <c r="F314" t="s">
        <v>22</v>
      </c>
      <c r="G314">
        <v>169.83</v>
      </c>
      <c r="H314">
        <v>13</v>
      </c>
      <c r="I314">
        <v>173.5</v>
      </c>
      <c r="J314">
        <v>0</v>
      </c>
      <c r="K314">
        <v>3.67</v>
      </c>
    </row>
    <row r="315" spans="1:11" x14ac:dyDescent="0.3">
      <c r="A315" s="1">
        <v>45240</v>
      </c>
      <c r="B315" t="s">
        <v>23</v>
      </c>
      <c r="C315" t="s">
        <v>12</v>
      </c>
      <c r="D315" t="s">
        <v>19</v>
      </c>
      <c r="E315" t="s">
        <v>14</v>
      </c>
      <c r="F315" t="s">
        <v>16</v>
      </c>
      <c r="G315">
        <v>190.46</v>
      </c>
      <c r="H315">
        <v>15</v>
      </c>
      <c r="I315">
        <v>740.31</v>
      </c>
      <c r="J315">
        <v>3</v>
      </c>
      <c r="K315">
        <v>530.20000000000005</v>
      </c>
    </row>
    <row r="316" spans="1:11" x14ac:dyDescent="0.3">
      <c r="A316" s="1">
        <v>45056</v>
      </c>
      <c r="B316" t="s">
        <v>11</v>
      </c>
      <c r="C316" t="s">
        <v>12</v>
      </c>
      <c r="D316" t="s">
        <v>28</v>
      </c>
      <c r="E316" t="s">
        <v>20</v>
      </c>
      <c r="F316" t="s">
        <v>16</v>
      </c>
      <c r="G316">
        <v>91.7</v>
      </c>
      <c r="H316">
        <v>4</v>
      </c>
      <c r="I316">
        <v>248.2</v>
      </c>
      <c r="J316">
        <v>1</v>
      </c>
      <c r="K316">
        <v>128.01</v>
      </c>
    </row>
    <row r="317" spans="1:11" x14ac:dyDescent="0.3">
      <c r="A317" s="1">
        <v>45199</v>
      </c>
      <c r="B317" t="s">
        <v>23</v>
      </c>
      <c r="C317" t="s">
        <v>29</v>
      </c>
      <c r="D317" t="s">
        <v>27</v>
      </c>
      <c r="E317" t="s">
        <v>14</v>
      </c>
      <c r="F317" t="s">
        <v>15</v>
      </c>
      <c r="G317">
        <v>110.12</v>
      </c>
      <c r="H317">
        <v>10</v>
      </c>
      <c r="I317">
        <v>458.68</v>
      </c>
      <c r="J317">
        <v>1</v>
      </c>
      <c r="K317">
        <v>341.66</v>
      </c>
    </row>
    <row r="318" spans="1:11" x14ac:dyDescent="0.3">
      <c r="A318" s="1">
        <v>45067</v>
      </c>
      <c r="B318" t="s">
        <v>11</v>
      </c>
      <c r="C318" t="s">
        <v>12</v>
      </c>
      <c r="D318" t="s">
        <v>19</v>
      </c>
      <c r="E318" t="s">
        <v>14</v>
      </c>
      <c r="F318" t="s">
        <v>16</v>
      </c>
      <c r="G318">
        <v>65.77</v>
      </c>
      <c r="H318">
        <v>6</v>
      </c>
      <c r="I318">
        <v>390.19</v>
      </c>
      <c r="J318">
        <v>2</v>
      </c>
      <c r="K318">
        <v>279.45</v>
      </c>
    </row>
    <row r="319" spans="1:11" x14ac:dyDescent="0.3">
      <c r="A319" s="1">
        <v>45077</v>
      </c>
      <c r="B319" t="s">
        <v>11</v>
      </c>
      <c r="C319" t="s">
        <v>29</v>
      </c>
      <c r="D319" t="s">
        <v>19</v>
      </c>
      <c r="E319" t="s">
        <v>14</v>
      </c>
      <c r="F319" t="s">
        <v>22</v>
      </c>
      <c r="G319">
        <v>38.270000000000003</v>
      </c>
      <c r="H319">
        <v>11</v>
      </c>
      <c r="I319">
        <v>863.88</v>
      </c>
      <c r="J319">
        <v>2</v>
      </c>
      <c r="K319">
        <v>776.18</v>
      </c>
    </row>
    <row r="320" spans="1:11" x14ac:dyDescent="0.3">
      <c r="A320" s="1">
        <v>44999</v>
      </c>
      <c r="B320" t="s">
        <v>11</v>
      </c>
      <c r="C320" t="s">
        <v>18</v>
      </c>
      <c r="D320" t="s">
        <v>13</v>
      </c>
      <c r="E320" t="s">
        <v>20</v>
      </c>
      <c r="F320" t="s">
        <v>15</v>
      </c>
      <c r="G320">
        <v>125.01</v>
      </c>
      <c r="H320">
        <v>11</v>
      </c>
      <c r="I320">
        <v>258.04000000000002</v>
      </c>
      <c r="J320">
        <v>3</v>
      </c>
      <c r="K320">
        <v>-0.76</v>
      </c>
    </row>
    <row r="321" spans="1:11" x14ac:dyDescent="0.3">
      <c r="A321" s="1">
        <v>44993</v>
      </c>
      <c r="B321" t="s">
        <v>11</v>
      </c>
      <c r="C321" t="s">
        <v>29</v>
      </c>
      <c r="D321" t="s">
        <v>19</v>
      </c>
      <c r="E321" t="s">
        <v>20</v>
      </c>
      <c r="F321" t="s">
        <v>15</v>
      </c>
      <c r="G321">
        <v>55.53</v>
      </c>
      <c r="H321">
        <v>18</v>
      </c>
      <c r="I321">
        <v>1197.55</v>
      </c>
      <c r="J321">
        <v>2</v>
      </c>
      <c r="K321">
        <v>1045.32</v>
      </c>
    </row>
    <row r="322" spans="1:11" x14ac:dyDescent="0.3">
      <c r="A322" s="1">
        <v>45156</v>
      </c>
      <c r="B322" t="s">
        <v>17</v>
      </c>
      <c r="C322" t="s">
        <v>18</v>
      </c>
      <c r="D322" t="s">
        <v>28</v>
      </c>
      <c r="E322" t="s">
        <v>20</v>
      </c>
      <c r="F322" t="s">
        <v>26</v>
      </c>
      <c r="G322">
        <v>136.66999999999999</v>
      </c>
      <c r="H322">
        <v>2</v>
      </c>
      <c r="I322">
        <v>44.58</v>
      </c>
      <c r="J322">
        <v>0</v>
      </c>
      <c r="K322">
        <v>-92.09</v>
      </c>
    </row>
    <row r="323" spans="1:11" x14ac:dyDescent="0.3">
      <c r="A323" s="1">
        <v>45055</v>
      </c>
      <c r="B323" t="s">
        <v>11</v>
      </c>
      <c r="C323" t="s">
        <v>18</v>
      </c>
      <c r="D323" t="s">
        <v>28</v>
      </c>
      <c r="E323" t="s">
        <v>14</v>
      </c>
      <c r="F323" t="s">
        <v>22</v>
      </c>
      <c r="G323">
        <v>198.46</v>
      </c>
      <c r="H323">
        <v>15</v>
      </c>
      <c r="I323">
        <v>901.22</v>
      </c>
      <c r="J323">
        <v>1</v>
      </c>
      <c r="K323">
        <v>668.07</v>
      </c>
    </row>
    <row r="324" spans="1:11" x14ac:dyDescent="0.3">
      <c r="A324" s="1">
        <v>44999</v>
      </c>
      <c r="B324" t="s">
        <v>11</v>
      </c>
      <c r="C324" t="s">
        <v>12</v>
      </c>
      <c r="D324" t="s">
        <v>27</v>
      </c>
      <c r="E324" t="s">
        <v>14</v>
      </c>
      <c r="F324" t="s">
        <v>15</v>
      </c>
      <c r="G324">
        <v>55.88</v>
      </c>
      <c r="H324">
        <v>19</v>
      </c>
      <c r="I324">
        <v>524.11</v>
      </c>
      <c r="J324">
        <v>2</v>
      </c>
      <c r="K324">
        <v>454.37</v>
      </c>
    </row>
    <row r="325" spans="1:11" x14ac:dyDescent="0.3">
      <c r="A325" s="1">
        <v>45260</v>
      </c>
      <c r="B325" t="s">
        <v>23</v>
      </c>
      <c r="C325" t="s">
        <v>29</v>
      </c>
      <c r="D325" t="s">
        <v>19</v>
      </c>
      <c r="E325" t="s">
        <v>14</v>
      </c>
      <c r="F325" t="s">
        <v>15</v>
      </c>
      <c r="G325">
        <v>149.18</v>
      </c>
      <c r="H325">
        <v>6</v>
      </c>
      <c r="I325">
        <v>169.85</v>
      </c>
      <c r="J325">
        <v>2</v>
      </c>
      <c r="K325">
        <v>-2.79</v>
      </c>
    </row>
    <row r="326" spans="1:11" x14ac:dyDescent="0.3">
      <c r="A326" s="1">
        <v>45226</v>
      </c>
      <c r="B326" t="s">
        <v>23</v>
      </c>
      <c r="C326" t="s">
        <v>24</v>
      </c>
      <c r="D326" t="s">
        <v>13</v>
      </c>
      <c r="E326" t="s">
        <v>20</v>
      </c>
      <c r="F326" t="s">
        <v>26</v>
      </c>
      <c r="G326">
        <v>190.87</v>
      </c>
      <c r="H326">
        <v>5</v>
      </c>
      <c r="I326">
        <v>382.07</v>
      </c>
      <c r="J326">
        <v>3</v>
      </c>
      <c r="K326">
        <v>72.37</v>
      </c>
    </row>
    <row r="327" spans="1:11" x14ac:dyDescent="0.3">
      <c r="A327" s="1">
        <v>45255</v>
      </c>
      <c r="B327" t="s">
        <v>23</v>
      </c>
      <c r="C327" t="s">
        <v>29</v>
      </c>
      <c r="D327" t="s">
        <v>25</v>
      </c>
      <c r="E327" t="s">
        <v>14</v>
      </c>
      <c r="F327" t="s">
        <v>15</v>
      </c>
      <c r="G327">
        <v>79.27</v>
      </c>
      <c r="H327">
        <v>7</v>
      </c>
      <c r="I327">
        <v>617.80999999999995</v>
      </c>
      <c r="J327">
        <v>0</v>
      </c>
      <c r="K327">
        <v>538.54</v>
      </c>
    </row>
    <row r="328" spans="1:11" x14ac:dyDescent="0.3">
      <c r="A328" s="1">
        <v>44944</v>
      </c>
      <c r="B328" t="s">
        <v>21</v>
      </c>
      <c r="C328" t="s">
        <v>29</v>
      </c>
      <c r="D328" t="s">
        <v>25</v>
      </c>
      <c r="E328" t="s">
        <v>14</v>
      </c>
      <c r="F328" t="s">
        <v>15</v>
      </c>
      <c r="G328">
        <v>114.17</v>
      </c>
      <c r="H328">
        <v>10</v>
      </c>
      <c r="I328">
        <v>276.52</v>
      </c>
      <c r="J328">
        <v>2</v>
      </c>
      <c r="K328">
        <v>136.91999999999999</v>
      </c>
    </row>
    <row r="329" spans="1:11" x14ac:dyDescent="0.3">
      <c r="A329" s="1">
        <v>45285</v>
      </c>
      <c r="B329" t="s">
        <v>21</v>
      </c>
      <c r="C329" t="s">
        <v>24</v>
      </c>
      <c r="D329" t="s">
        <v>27</v>
      </c>
      <c r="E329" t="s">
        <v>14</v>
      </c>
      <c r="F329" t="s">
        <v>16</v>
      </c>
      <c r="G329">
        <v>19.399999999999999</v>
      </c>
      <c r="H329">
        <v>12</v>
      </c>
      <c r="I329">
        <v>1180.48</v>
      </c>
      <c r="J329">
        <v>2</v>
      </c>
      <c r="K329">
        <v>1141.8699999999999</v>
      </c>
    </row>
    <row r="330" spans="1:11" x14ac:dyDescent="0.3">
      <c r="A330" s="1">
        <v>45170</v>
      </c>
      <c r="B330" t="s">
        <v>23</v>
      </c>
      <c r="C330" t="s">
        <v>12</v>
      </c>
      <c r="D330" t="s">
        <v>19</v>
      </c>
      <c r="E330" t="s">
        <v>14</v>
      </c>
      <c r="F330" t="s">
        <v>16</v>
      </c>
      <c r="G330">
        <v>142.72999999999999</v>
      </c>
      <c r="H330">
        <v>10</v>
      </c>
      <c r="I330">
        <v>358.5</v>
      </c>
      <c r="J330">
        <v>3</v>
      </c>
      <c r="K330">
        <v>95.21</v>
      </c>
    </row>
    <row r="331" spans="1:11" x14ac:dyDescent="0.3">
      <c r="A331" s="1">
        <v>45060</v>
      </c>
      <c r="B331" t="s">
        <v>11</v>
      </c>
      <c r="C331" t="s">
        <v>12</v>
      </c>
      <c r="D331" t="s">
        <v>28</v>
      </c>
      <c r="E331" t="s">
        <v>20</v>
      </c>
      <c r="F331" t="s">
        <v>26</v>
      </c>
      <c r="G331">
        <v>158.27000000000001</v>
      </c>
      <c r="H331">
        <v>7</v>
      </c>
      <c r="I331">
        <v>622.4</v>
      </c>
      <c r="J331">
        <v>3</v>
      </c>
      <c r="K331">
        <v>354.7</v>
      </c>
    </row>
    <row r="332" spans="1:11" x14ac:dyDescent="0.3">
      <c r="A332" s="1">
        <v>45270</v>
      </c>
      <c r="B332" t="s">
        <v>21</v>
      </c>
      <c r="C332" t="s">
        <v>18</v>
      </c>
      <c r="D332" t="s">
        <v>25</v>
      </c>
      <c r="E332" t="s">
        <v>20</v>
      </c>
      <c r="F332" t="s">
        <v>15</v>
      </c>
      <c r="G332">
        <v>158.34</v>
      </c>
      <c r="H332">
        <v>18</v>
      </c>
      <c r="I332">
        <v>1431.27</v>
      </c>
      <c r="J332">
        <v>2</v>
      </c>
      <c r="K332">
        <v>1240.5899999999999</v>
      </c>
    </row>
    <row r="333" spans="1:11" x14ac:dyDescent="0.3">
      <c r="A333" s="1">
        <v>45234</v>
      </c>
      <c r="B333" t="s">
        <v>23</v>
      </c>
      <c r="C333" t="s">
        <v>12</v>
      </c>
      <c r="D333" t="s">
        <v>28</v>
      </c>
      <c r="E333" t="s">
        <v>14</v>
      </c>
      <c r="F333" t="s">
        <v>16</v>
      </c>
      <c r="G333">
        <v>147.16</v>
      </c>
      <c r="H333">
        <v>6</v>
      </c>
      <c r="I333">
        <v>137.22999999999999</v>
      </c>
      <c r="J333">
        <v>3</v>
      </c>
      <c r="K333">
        <v>-145.47999999999999</v>
      </c>
    </row>
    <row r="334" spans="1:11" x14ac:dyDescent="0.3">
      <c r="A334" s="1">
        <v>45028</v>
      </c>
      <c r="B334" t="s">
        <v>11</v>
      </c>
      <c r="C334" t="s">
        <v>12</v>
      </c>
      <c r="D334" t="s">
        <v>28</v>
      </c>
      <c r="E334" t="s">
        <v>14</v>
      </c>
      <c r="F334" t="s">
        <v>16</v>
      </c>
      <c r="G334">
        <v>13.8</v>
      </c>
      <c r="H334">
        <v>8</v>
      </c>
      <c r="I334">
        <v>617</v>
      </c>
      <c r="J334">
        <v>2</v>
      </c>
      <c r="K334">
        <v>587.39</v>
      </c>
    </row>
    <row r="335" spans="1:11" x14ac:dyDescent="0.3">
      <c r="A335" s="1">
        <v>45070</v>
      </c>
      <c r="B335" t="s">
        <v>11</v>
      </c>
      <c r="C335" t="s">
        <v>24</v>
      </c>
      <c r="D335" t="s">
        <v>28</v>
      </c>
      <c r="E335" t="s">
        <v>14</v>
      </c>
      <c r="F335" t="s">
        <v>22</v>
      </c>
      <c r="G335">
        <v>29.57</v>
      </c>
      <c r="H335">
        <v>5</v>
      </c>
      <c r="I335">
        <v>492.51</v>
      </c>
      <c r="J335">
        <v>1</v>
      </c>
      <c r="K335">
        <v>429.99</v>
      </c>
    </row>
    <row r="336" spans="1:11" x14ac:dyDescent="0.3">
      <c r="A336" s="1">
        <v>44949</v>
      </c>
      <c r="B336" t="s">
        <v>21</v>
      </c>
      <c r="C336" t="s">
        <v>29</v>
      </c>
      <c r="D336" t="s">
        <v>28</v>
      </c>
      <c r="E336" t="s">
        <v>20</v>
      </c>
      <c r="F336" t="s">
        <v>22</v>
      </c>
      <c r="G336">
        <v>22.28</v>
      </c>
      <c r="H336">
        <v>7</v>
      </c>
      <c r="I336">
        <v>441.53</v>
      </c>
      <c r="J336">
        <v>1</v>
      </c>
      <c r="K336">
        <v>401.52</v>
      </c>
    </row>
    <row r="337" spans="1:11" x14ac:dyDescent="0.3">
      <c r="A337" s="1">
        <v>45018</v>
      </c>
      <c r="B337" t="s">
        <v>11</v>
      </c>
      <c r="C337" t="s">
        <v>18</v>
      </c>
      <c r="D337" t="s">
        <v>19</v>
      </c>
      <c r="E337" t="s">
        <v>14</v>
      </c>
      <c r="F337" t="s">
        <v>26</v>
      </c>
      <c r="G337">
        <v>13.63</v>
      </c>
      <c r="H337">
        <v>2</v>
      </c>
      <c r="I337">
        <v>122.56</v>
      </c>
      <c r="J337">
        <v>2</v>
      </c>
      <c r="K337">
        <v>54.39</v>
      </c>
    </row>
    <row r="338" spans="1:11" x14ac:dyDescent="0.3">
      <c r="A338" s="1">
        <v>45238</v>
      </c>
      <c r="B338" t="s">
        <v>23</v>
      </c>
      <c r="C338" t="s">
        <v>24</v>
      </c>
      <c r="D338" t="s">
        <v>27</v>
      </c>
      <c r="E338" t="s">
        <v>20</v>
      </c>
      <c r="F338" t="s">
        <v>22</v>
      </c>
      <c r="G338">
        <v>108.73</v>
      </c>
      <c r="H338">
        <v>12</v>
      </c>
      <c r="I338">
        <v>793.62</v>
      </c>
      <c r="J338">
        <v>2</v>
      </c>
      <c r="K338">
        <v>665.87</v>
      </c>
    </row>
    <row r="339" spans="1:11" x14ac:dyDescent="0.3">
      <c r="A339" s="1">
        <v>44991</v>
      </c>
      <c r="B339" t="s">
        <v>11</v>
      </c>
      <c r="C339" t="s">
        <v>12</v>
      </c>
      <c r="D339" t="s">
        <v>28</v>
      </c>
      <c r="E339" t="s">
        <v>20</v>
      </c>
      <c r="F339" t="s">
        <v>16</v>
      </c>
      <c r="G339">
        <v>70.94</v>
      </c>
      <c r="H339">
        <v>16</v>
      </c>
      <c r="I339">
        <v>1380.41</v>
      </c>
      <c r="J339">
        <v>0</v>
      </c>
      <c r="K339">
        <v>1309.47</v>
      </c>
    </row>
    <row r="340" spans="1:11" x14ac:dyDescent="0.3">
      <c r="A340" s="1">
        <v>45201</v>
      </c>
      <c r="B340" t="s">
        <v>23</v>
      </c>
      <c r="C340" t="s">
        <v>24</v>
      </c>
      <c r="D340" t="s">
        <v>19</v>
      </c>
      <c r="E340" t="s">
        <v>14</v>
      </c>
      <c r="F340" t="s">
        <v>16</v>
      </c>
      <c r="G340">
        <v>17.32</v>
      </c>
      <c r="H340">
        <v>17</v>
      </c>
      <c r="I340">
        <v>903.78</v>
      </c>
      <c r="J340">
        <v>3</v>
      </c>
      <c r="K340">
        <v>858.98</v>
      </c>
    </row>
    <row r="341" spans="1:11" x14ac:dyDescent="0.3">
      <c r="A341" s="1">
        <v>45161</v>
      </c>
      <c r="B341" t="s">
        <v>17</v>
      </c>
      <c r="C341" t="s">
        <v>24</v>
      </c>
      <c r="D341" t="s">
        <v>27</v>
      </c>
      <c r="E341" t="s">
        <v>20</v>
      </c>
      <c r="F341" t="s">
        <v>22</v>
      </c>
      <c r="G341">
        <v>183.48</v>
      </c>
      <c r="H341">
        <v>20</v>
      </c>
      <c r="I341">
        <v>1213.57</v>
      </c>
      <c r="J341">
        <v>2</v>
      </c>
      <c r="K341">
        <v>959.75</v>
      </c>
    </row>
    <row r="342" spans="1:11" x14ac:dyDescent="0.3">
      <c r="A342" s="1">
        <v>45224</v>
      </c>
      <c r="B342" t="s">
        <v>23</v>
      </c>
      <c r="C342" t="s">
        <v>18</v>
      </c>
      <c r="D342" t="s">
        <v>19</v>
      </c>
      <c r="E342" t="s">
        <v>20</v>
      </c>
      <c r="F342" t="s">
        <v>16</v>
      </c>
      <c r="G342">
        <v>154.21</v>
      </c>
      <c r="H342">
        <v>20</v>
      </c>
      <c r="I342">
        <v>1475.7</v>
      </c>
      <c r="J342">
        <v>2</v>
      </c>
      <c r="K342">
        <v>1222.48</v>
      </c>
    </row>
    <row r="343" spans="1:11" x14ac:dyDescent="0.3">
      <c r="A343" s="1">
        <v>44979</v>
      </c>
      <c r="B343" t="s">
        <v>21</v>
      </c>
      <c r="C343" t="s">
        <v>24</v>
      </c>
      <c r="D343" t="s">
        <v>25</v>
      </c>
      <c r="E343" t="s">
        <v>20</v>
      </c>
      <c r="F343" t="s">
        <v>16</v>
      </c>
      <c r="G343">
        <v>87.79</v>
      </c>
      <c r="H343">
        <v>18</v>
      </c>
      <c r="I343">
        <v>275.13</v>
      </c>
      <c r="J343">
        <v>3</v>
      </c>
      <c r="K343">
        <v>64.98</v>
      </c>
    </row>
    <row r="344" spans="1:11" x14ac:dyDescent="0.3">
      <c r="A344" s="1">
        <v>44995</v>
      </c>
      <c r="B344" t="s">
        <v>11</v>
      </c>
      <c r="C344" t="s">
        <v>18</v>
      </c>
      <c r="D344" t="s">
        <v>25</v>
      </c>
      <c r="E344" t="s">
        <v>14</v>
      </c>
      <c r="F344" t="s">
        <v>15</v>
      </c>
      <c r="G344">
        <v>161.65</v>
      </c>
      <c r="H344">
        <v>16</v>
      </c>
      <c r="I344">
        <v>484.88</v>
      </c>
      <c r="J344">
        <v>3</v>
      </c>
      <c r="K344">
        <v>203.75</v>
      </c>
    </row>
    <row r="345" spans="1:11" x14ac:dyDescent="0.3">
      <c r="A345" s="1">
        <v>44972</v>
      </c>
      <c r="B345" t="s">
        <v>21</v>
      </c>
      <c r="C345" t="s">
        <v>12</v>
      </c>
      <c r="D345" t="s">
        <v>28</v>
      </c>
      <c r="E345" t="s">
        <v>14</v>
      </c>
      <c r="F345" t="s">
        <v>15</v>
      </c>
      <c r="G345">
        <v>183.85</v>
      </c>
      <c r="H345">
        <v>15</v>
      </c>
      <c r="I345">
        <v>1141.76</v>
      </c>
      <c r="J345">
        <v>0</v>
      </c>
      <c r="K345">
        <v>957.91</v>
      </c>
    </row>
    <row r="346" spans="1:11" x14ac:dyDescent="0.3">
      <c r="A346" s="1">
        <v>45274</v>
      </c>
      <c r="B346" t="s">
        <v>21</v>
      </c>
      <c r="C346" t="s">
        <v>29</v>
      </c>
      <c r="D346" t="s">
        <v>19</v>
      </c>
      <c r="E346" t="s">
        <v>14</v>
      </c>
      <c r="F346" t="s">
        <v>22</v>
      </c>
      <c r="G346">
        <v>171.64</v>
      </c>
      <c r="H346">
        <v>1</v>
      </c>
      <c r="I346">
        <v>89.67</v>
      </c>
      <c r="J346">
        <v>0</v>
      </c>
      <c r="K346">
        <v>-81.97</v>
      </c>
    </row>
    <row r="347" spans="1:11" x14ac:dyDescent="0.3">
      <c r="A347" s="1">
        <v>45156</v>
      </c>
      <c r="B347" t="s">
        <v>17</v>
      </c>
      <c r="C347" t="s">
        <v>18</v>
      </c>
      <c r="D347" t="s">
        <v>19</v>
      </c>
      <c r="E347" t="s">
        <v>20</v>
      </c>
      <c r="F347" t="s">
        <v>16</v>
      </c>
      <c r="G347">
        <v>142.91</v>
      </c>
      <c r="H347">
        <v>15</v>
      </c>
      <c r="I347">
        <v>521.29999999999995</v>
      </c>
      <c r="J347">
        <v>2</v>
      </c>
      <c r="K347">
        <v>290.01</v>
      </c>
    </row>
    <row r="348" spans="1:11" x14ac:dyDescent="0.3">
      <c r="A348" s="1">
        <v>45003</v>
      </c>
      <c r="B348" t="s">
        <v>11</v>
      </c>
      <c r="C348" t="s">
        <v>18</v>
      </c>
      <c r="D348" t="s">
        <v>28</v>
      </c>
      <c r="E348" t="s">
        <v>20</v>
      </c>
      <c r="F348" t="s">
        <v>26</v>
      </c>
      <c r="G348">
        <v>41.08</v>
      </c>
      <c r="H348">
        <v>4</v>
      </c>
      <c r="I348">
        <v>171.36</v>
      </c>
      <c r="J348">
        <v>3</v>
      </c>
      <c r="K348">
        <v>95.66</v>
      </c>
    </row>
    <row r="349" spans="1:11" x14ac:dyDescent="0.3">
      <c r="A349" s="1">
        <v>45000</v>
      </c>
      <c r="B349" t="s">
        <v>11</v>
      </c>
      <c r="C349" t="s">
        <v>12</v>
      </c>
      <c r="D349" t="s">
        <v>19</v>
      </c>
      <c r="E349" t="s">
        <v>14</v>
      </c>
      <c r="F349" t="s">
        <v>15</v>
      </c>
      <c r="G349">
        <v>49.74</v>
      </c>
      <c r="H349">
        <v>14</v>
      </c>
      <c r="I349">
        <v>1362.25</v>
      </c>
      <c r="J349">
        <v>0</v>
      </c>
      <c r="K349">
        <v>1312.51</v>
      </c>
    </row>
    <row r="350" spans="1:11" x14ac:dyDescent="0.3">
      <c r="A350" s="1">
        <v>45250</v>
      </c>
      <c r="B350" t="s">
        <v>23</v>
      </c>
      <c r="C350" t="s">
        <v>12</v>
      </c>
      <c r="D350" t="s">
        <v>25</v>
      </c>
      <c r="E350" t="s">
        <v>14</v>
      </c>
      <c r="F350" t="s">
        <v>16</v>
      </c>
      <c r="G350">
        <v>157.51</v>
      </c>
      <c r="H350">
        <v>7</v>
      </c>
      <c r="I350">
        <v>297.43</v>
      </c>
      <c r="J350">
        <v>3</v>
      </c>
      <c r="K350">
        <v>119.29</v>
      </c>
    </row>
    <row r="351" spans="1:11" x14ac:dyDescent="0.3">
      <c r="A351" s="1">
        <v>45082</v>
      </c>
      <c r="B351" t="s">
        <v>17</v>
      </c>
      <c r="C351" t="s">
        <v>29</v>
      </c>
      <c r="D351" t="s">
        <v>25</v>
      </c>
      <c r="E351" t="s">
        <v>14</v>
      </c>
      <c r="F351" t="s">
        <v>22</v>
      </c>
      <c r="G351">
        <v>59.84</v>
      </c>
      <c r="H351">
        <v>14</v>
      </c>
      <c r="I351">
        <v>1300.68</v>
      </c>
      <c r="J351">
        <v>0</v>
      </c>
      <c r="K351">
        <v>1240.8399999999999</v>
      </c>
    </row>
    <row r="352" spans="1:11" x14ac:dyDescent="0.3">
      <c r="A352" s="1">
        <v>45267</v>
      </c>
      <c r="B352" t="s">
        <v>21</v>
      </c>
      <c r="C352" t="s">
        <v>29</v>
      </c>
      <c r="D352" t="s">
        <v>13</v>
      </c>
      <c r="E352" t="s">
        <v>14</v>
      </c>
      <c r="F352" t="s">
        <v>15</v>
      </c>
      <c r="G352">
        <v>171.07</v>
      </c>
      <c r="H352">
        <v>14</v>
      </c>
      <c r="I352">
        <v>248.23</v>
      </c>
      <c r="J352">
        <v>0</v>
      </c>
      <c r="K352">
        <v>77.16</v>
      </c>
    </row>
    <row r="353" spans="1:11" x14ac:dyDescent="0.3">
      <c r="A353" s="1">
        <v>45278</v>
      </c>
      <c r="B353" t="s">
        <v>21</v>
      </c>
      <c r="C353" t="s">
        <v>12</v>
      </c>
      <c r="D353" t="s">
        <v>19</v>
      </c>
      <c r="E353" t="s">
        <v>14</v>
      </c>
      <c r="F353" t="s">
        <v>22</v>
      </c>
      <c r="G353">
        <v>151.13999999999999</v>
      </c>
      <c r="H353">
        <v>17</v>
      </c>
      <c r="I353">
        <v>618.49</v>
      </c>
      <c r="J353">
        <v>1</v>
      </c>
      <c r="K353">
        <v>443</v>
      </c>
    </row>
    <row r="354" spans="1:11" x14ac:dyDescent="0.3">
      <c r="A354" s="1">
        <v>45170</v>
      </c>
      <c r="B354" t="s">
        <v>23</v>
      </c>
      <c r="C354" t="s">
        <v>24</v>
      </c>
      <c r="D354" t="s">
        <v>13</v>
      </c>
      <c r="E354" t="s">
        <v>14</v>
      </c>
      <c r="F354" t="s">
        <v>22</v>
      </c>
      <c r="G354">
        <v>56.96</v>
      </c>
      <c r="H354">
        <v>2</v>
      </c>
      <c r="I354">
        <v>91.36</v>
      </c>
      <c r="J354">
        <v>1</v>
      </c>
      <c r="K354">
        <v>2.5</v>
      </c>
    </row>
    <row r="355" spans="1:11" x14ac:dyDescent="0.3">
      <c r="A355" s="1">
        <v>45144</v>
      </c>
      <c r="B355" t="s">
        <v>17</v>
      </c>
      <c r="C355" t="s">
        <v>12</v>
      </c>
      <c r="D355" t="s">
        <v>19</v>
      </c>
      <c r="E355" t="s">
        <v>20</v>
      </c>
      <c r="F355" t="s">
        <v>16</v>
      </c>
      <c r="G355">
        <v>93.06</v>
      </c>
      <c r="H355">
        <v>20</v>
      </c>
      <c r="I355">
        <v>527.48</v>
      </c>
      <c r="J355">
        <v>1</v>
      </c>
      <c r="K355">
        <v>392.12</v>
      </c>
    </row>
    <row r="356" spans="1:11" x14ac:dyDescent="0.3">
      <c r="A356" s="1">
        <v>45136</v>
      </c>
      <c r="B356" t="s">
        <v>17</v>
      </c>
      <c r="C356" t="s">
        <v>18</v>
      </c>
      <c r="D356" t="s">
        <v>13</v>
      </c>
      <c r="E356" t="s">
        <v>20</v>
      </c>
      <c r="F356" t="s">
        <v>15</v>
      </c>
      <c r="G356">
        <v>173.91</v>
      </c>
      <c r="H356">
        <v>14</v>
      </c>
      <c r="I356">
        <v>749.35</v>
      </c>
      <c r="J356">
        <v>3</v>
      </c>
      <c r="K356">
        <v>481.1</v>
      </c>
    </row>
    <row r="357" spans="1:11" x14ac:dyDescent="0.3">
      <c r="A357" s="1">
        <v>44969</v>
      </c>
      <c r="B357" t="s">
        <v>21</v>
      </c>
      <c r="C357" t="s">
        <v>18</v>
      </c>
      <c r="D357" t="s">
        <v>28</v>
      </c>
      <c r="E357" t="s">
        <v>20</v>
      </c>
      <c r="F357" t="s">
        <v>15</v>
      </c>
      <c r="G357">
        <v>112.08</v>
      </c>
      <c r="H357">
        <v>18</v>
      </c>
      <c r="I357">
        <v>828.77</v>
      </c>
      <c r="J357">
        <v>1</v>
      </c>
      <c r="K357">
        <v>692.83</v>
      </c>
    </row>
    <row r="358" spans="1:11" x14ac:dyDescent="0.3">
      <c r="A358" s="1">
        <v>45040</v>
      </c>
      <c r="B358" t="s">
        <v>11</v>
      </c>
      <c r="C358" t="s">
        <v>24</v>
      </c>
      <c r="D358" t="s">
        <v>27</v>
      </c>
      <c r="E358" t="s">
        <v>20</v>
      </c>
      <c r="F358" t="s">
        <v>22</v>
      </c>
      <c r="G358">
        <v>79.03</v>
      </c>
      <c r="H358">
        <v>14</v>
      </c>
      <c r="I358">
        <v>811.42</v>
      </c>
      <c r="J358">
        <v>2</v>
      </c>
      <c r="K358">
        <v>699.62</v>
      </c>
    </row>
    <row r="359" spans="1:11" x14ac:dyDescent="0.3">
      <c r="A359" s="1">
        <v>45123</v>
      </c>
      <c r="B359" t="s">
        <v>17</v>
      </c>
      <c r="C359" t="s">
        <v>24</v>
      </c>
      <c r="D359" t="s">
        <v>28</v>
      </c>
      <c r="E359" t="s">
        <v>20</v>
      </c>
      <c r="F359" t="s">
        <v>26</v>
      </c>
      <c r="G359">
        <v>127.48</v>
      </c>
      <c r="H359">
        <v>20</v>
      </c>
      <c r="I359">
        <v>1382.67</v>
      </c>
      <c r="J359">
        <v>1</v>
      </c>
      <c r="K359">
        <v>1230.71</v>
      </c>
    </row>
    <row r="360" spans="1:11" x14ac:dyDescent="0.3">
      <c r="A360" s="1">
        <v>44957</v>
      </c>
      <c r="B360" t="s">
        <v>21</v>
      </c>
      <c r="C360" t="s">
        <v>18</v>
      </c>
      <c r="D360" t="s">
        <v>27</v>
      </c>
      <c r="E360" t="s">
        <v>14</v>
      </c>
      <c r="F360" t="s">
        <v>15</v>
      </c>
      <c r="G360">
        <v>82.41</v>
      </c>
      <c r="H360">
        <v>16</v>
      </c>
      <c r="I360">
        <v>254.84</v>
      </c>
      <c r="J360">
        <v>3</v>
      </c>
      <c r="K360">
        <v>93.82</v>
      </c>
    </row>
    <row r="361" spans="1:11" x14ac:dyDescent="0.3">
      <c r="A361" s="1">
        <v>45153</v>
      </c>
      <c r="B361" t="s">
        <v>17</v>
      </c>
      <c r="C361" t="s">
        <v>18</v>
      </c>
      <c r="D361" t="s">
        <v>13</v>
      </c>
      <c r="E361" t="s">
        <v>20</v>
      </c>
      <c r="F361" t="s">
        <v>22</v>
      </c>
      <c r="G361">
        <v>85.65</v>
      </c>
      <c r="H361">
        <v>7</v>
      </c>
      <c r="I361">
        <v>133.52000000000001</v>
      </c>
      <c r="J361">
        <v>2</v>
      </c>
      <c r="K361">
        <v>-32.51</v>
      </c>
    </row>
    <row r="362" spans="1:11" x14ac:dyDescent="0.3">
      <c r="A362" s="1">
        <v>44934</v>
      </c>
      <c r="B362" t="s">
        <v>21</v>
      </c>
      <c r="C362" t="s">
        <v>18</v>
      </c>
      <c r="D362" t="s">
        <v>19</v>
      </c>
      <c r="E362" t="s">
        <v>14</v>
      </c>
      <c r="F362" t="s">
        <v>26</v>
      </c>
      <c r="G362">
        <v>81.260000000000005</v>
      </c>
      <c r="H362">
        <v>3</v>
      </c>
      <c r="I362">
        <v>44.42</v>
      </c>
      <c r="J362">
        <v>1</v>
      </c>
      <c r="K362">
        <v>-86.45</v>
      </c>
    </row>
    <row r="363" spans="1:11" x14ac:dyDescent="0.3">
      <c r="A363" s="1">
        <v>45058</v>
      </c>
      <c r="B363" t="s">
        <v>11</v>
      </c>
      <c r="C363" t="s">
        <v>12</v>
      </c>
      <c r="D363" t="s">
        <v>28</v>
      </c>
      <c r="E363" t="s">
        <v>20</v>
      </c>
      <c r="F363" t="s">
        <v>16</v>
      </c>
      <c r="G363">
        <v>63.62</v>
      </c>
      <c r="H363">
        <v>10</v>
      </c>
      <c r="I363">
        <v>209.53</v>
      </c>
      <c r="J363">
        <v>2</v>
      </c>
      <c r="K363">
        <v>68.849999999999994</v>
      </c>
    </row>
    <row r="364" spans="1:11" x14ac:dyDescent="0.3">
      <c r="A364" s="1">
        <v>45177</v>
      </c>
      <c r="B364" t="s">
        <v>23</v>
      </c>
      <c r="C364" t="s">
        <v>29</v>
      </c>
      <c r="D364" t="s">
        <v>25</v>
      </c>
      <c r="E364" t="s">
        <v>14</v>
      </c>
      <c r="F364" t="s">
        <v>16</v>
      </c>
      <c r="G364">
        <v>99.48</v>
      </c>
      <c r="H364">
        <v>7</v>
      </c>
      <c r="I364">
        <v>527.84</v>
      </c>
      <c r="J364">
        <v>0</v>
      </c>
      <c r="K364">
        <v>428.36</v>
      </c>
    </row>
    <row r="365" spans="1:11" x14ac:dyDescent="0.3">
      <c r="A365" s="1">
        <v>45202</v>
      </c>
      <c r="B365" t="s">
        <v>23</v>
      </c>
      <c r="C365" t="s">
        <v>29</v>
      </c>
      <c r="D365" t="s">
        <v>27</v>
      </c>
      <c r="E365" t="s">
        <v>20</v>
      </c>
      <c r="F365" t="s">
        <v>16</v>
      </c>
      <c r="G365">
        <v>186.39</v>
      </c>
      <c r="H365">
        <v>18</v>
      </c>
      <c r="I365">
        <v>1662.98</v>
      </c>
      <c r="J365">
        <v>1</v>
      </c>
      <c r="K365">
        <v>1434.55</v>
      </c>
    </row>
    <row r="366" spans="1:11" x14ac:dyDescent="0.3">
      <c r="A366" s="1">
        <v>45150</v>
      </c>
      <c r="B366" t="s">
        <v>17</v>
      </c>
      <c r="C366" t="s">
        <v>18</v>
      </c>
      <c r="D366" t="s">
        <v>25</v>
      </c>
      <c r="E366" t="s">
        <v>20</v>
      </c>
      <c r="F366" t="s">
        <v>22</v>
      </c>
      <c r="G366">
        <v>197.47</v>
      </c>
      <c r="H366">
        <v>2</v>
      </c>
      <c r="I366">
        <v>94.37</v>
      </c>
      <c r="J366">
        <v>1</v>
      </c>
      <c r="K366">
        <v>-139.75</v>
      </c>
    </row>
    <row r="367" spans="1:11" x14ac:dyDescent="0.3">
      <c r="A367" s="1">
        <v>45272</v>
      </c>
      <c r="B367" t="s">
        <v>21</v>
      </c>
      <c r="C367" t="s">
        <v>18</v>
      </c>
      <c r="D367" t="s">
        <v>28</v>
      </c>
      <c r="E367" t="s">
        <v>14</v>
      </c>
      <c r="F367" t="s">
        <v>16</v>
      </c>
      <c r="G367">
        <v>66.5</v>
      </c>
      <c r="H367">
        <v>12</v>
      </c>
      <c r="I367">
        <v>993.02</v>
      </c>
      <c r="J367">
        <v>1</v>
      </c>
      <c r="K367">
        <v>900.31</v>
      </c>
    </row>
    <row r="368" spans="1:11" x14ac:dyDescent="0.3">
      <c r="A368" s="1">
        <v>45166</v>
      </c>
      <c r="B368" t="s">
        <v>17</v>
      </c>
      <c r="C368" t="s">
        <v>12</v>
      </c>
      <c r="D368" t="s">
        <v>27</v>
      </c>
      <c r="E368" t="s">
        <v>20</v>
      </c>
      <c r="F368" t="s">
        <v>22</v>
      </c>
      <c r="G368">
        <v>76.47</v>
      </c>
      <c r="H368">
        <v>20</v>
      </c>
      <c r="I368">
        <v>1967.93</v>
      </c>
      <c r="J368">
        <v>3</v>
      </c>
      <c r="K368">
        <v>1861.82</v>
      </c>
    </row>
    <row r="369" spans="1:11" x14ac:dyDescent="0.3">
      <c r="A369" s="1">
        <v>45162</v>
      </c>
      <c r="B369" t="s">
        <v>17</v>
      </c>
      <c r="C369" t="s">
        <v>12</v>
      </c>
      <c r="D369" t="s">
        <v>28</v>
      </c>
      <c r="E369" t="s">
        <v>20</v>
      </c>
      <c r="F369" t="s">
        <v>15</v>
      </c>
      <c r="G369">
        <v>62.58</v>
      </c>
      <c r="H369">
        <v>17</v>
      </c>
      <c r="I369">
        <v>280.55</v>
      </c>
      <c r="J369">
        <v>1</v>
      </c>
      <c r="K369">
        <v>211</v>
      </c>
    </row>
    <row r="370" spans="1:11" x14ac:dyDescent="0.3">
      <c r="A370" s="1">
        <v>45225</v>
      </c>
      <c r="B370" t="s">
        <v>23</v>
      </c>
      <c r="C370" t="s">
        <v>12</v>
      </c>
      <c r="D370" t="s">
        <v>28</v>
      </c>
      <c r="E370" t="s">
        <v>14</v>
      </c>
      <c r="F370" t="s">
        <v>22</v>
      </c>
      <c r="G370">
        <v>175.28</v>
      </c>
      <c r="H370">
        <v>20</v>
      </c>
      <c r="I370">
        <v>1035.7</v>
      </c>
      <c r="J370">
        <v>2</v>
      </c>
      <c r="K370">
        <v>793.03</v>
      </c>
    </row>
    <row r="371" spans="1:11" x14ac:dyDescent="0.3">
      <c r="A371" s="1">
        <v>44945</v>
      </c>
      <c r="B371" t="s">
        <v>21</v>
      </c>
      <c r="C371" t="s">
        <v>12</v>
      </c>
      <c r="D371" t="s">
        <v>19</v>
      </c>
      <c r="E371" t="s">
        <v>20</v>
      </c>
      <c r="F371" t="s">
        <v>22</v>
      </c>
      <c r="G371">
        <v>122.84</v>
      </c>
      <c r="H371">
        <v>14</v>
      </c>
      <c r="I371">
        <v>372.96</v>
      </c>
      <c r="J371">
        <v>0</v>
      </c>
      <c r="K371">
        <v>250.12</v>
      </c>
    </row>
    <row r="372" spans="1:11" x14ac:dyDescent="0.3">
      <c r="A372" s="1">
        <v>44997</v>
      </c>
      <c r="B372" t="s">
        <v>11</v>
      </c>
      <c r="C372" t="s">
        <v>24</v>
      </c>
      <c r="D372" t="s">
        <v>28</v>
      </c>
      <c r="E372" t="s">
        <v>20</v>
      </c>
      <c r="F372" t="s">
        <v>22</v>
      </c>
      <c r="G372">
        <v>190.48</v>
      </c>
      <c r="H372">
        <v>17</v>
      </c>
      <c r="I372">
        <v>1577.44</v>
      </c>
      <c r="J372">
        <v>2</v>
      </c>
      <c r="K372">
        <v>1348.2</v>
      </c>
    </row>
    <row r="373" spans="1:11" x14ac:dyDescent="0.3">
      <c r="A373" s="1">
        <v>45038</v>
      </c>
      <c r="B373" t="s">
        <v>11</v>
      </c>
      <c r="C373" t="s">
        <v>18</v>
      </c>
      <c r="D373" t="s">
        <v>13</v>
      </c>
      <c r="E373" t="s">
        <v>20</v>
      </c>
      <c r="F373" t="s">
        <v>26</v>
      </c>
      <c r="G373">
        <v>140.97</v>
      </c>
      <c r="H373">
        <v>10</v>
      </c>
      <c r="I373">
        <v>435.1</v>
      </c>
      <c r="J373">
        <v>0</v>
      </c>
      <c r="K373">
        <v>294.13</v>
      </c>
    </row>
    <row r="374" spans="1:11" x14ac:dyDescent="0.3">
      <c r="A374" s="1">
        <v>45163</v>
      </c>
      <c r="B374" t="s">
        <v>17</v>
      </c>
      <c r="C374" t="s">
        <v>24</v>
      </c>
      <c r="D374" t="s">
        <v>27</v>
      </c>
      <c r="E374" t="s">
        <v>20</v>
      </c>
      <c r="F374" t="s">
        <v>16</v>
      </c>
      <c r="G374">
        <v>141.80000000000001</v>
      </c>
      <c r="H374">
        <v>20</v>
      </c>
      <c r="I374">
        <v>664.96</v>
      </c>
      <c r="J374">
        <v>2</v>
      </c>
      <c r="K374">
        <v>443.84</v>
      </c>
    </row>
    <row r="375" spans="1:11" x14ac:dyDescent="0.3">
      <c r="A375" s="1">
        <v>45181</v>
      </c>
      <c r="B375" t="s">
        <v>23</v>
      </c>
      <c r="C375" t="s">
        <v>29</v>
      </c>
      <c r="D375" t="s">
        <v>25</v>
      </c>
      <c r="E375" t="s">
        <v>14</v>
      </c>
      <c r="F375" t="s">
        <v>15</v>
      </c>
      <c r="G375">
        <v>96.96</v>
      </c>
      <c r="H375">
        <v>11</v>
      </c>
      <c r="I375">
        <v>1044.73</v>
      </c>
      <c r="J375">
        <v>1</v>
      </c>
      <c r="K375">
        <v>902.46</v>
      </c>
    </row>
    <row r="376" spans="1:11" x14ac:dyDescent="0.3">
      <c r="A376" s="1">
        <v>45081</v>
      </c>
      <c r="B376" t="s">
        <v>17</v>
      </c>
      <c r="C376" t="s">
        <v>24</v>
      </c>
      <c r="D376" t="s">
        <v>27</v>
      </c>
      <c r="E376" t="s">
        <v>20</v>
      </c>
      <c r="F376" t="s">
        <v>15</v>
      </c>
      <c r="G376">
        <v>148.52000000000001</v>
      </c>
      <c r="H376">
        <v>16</v>
      </c>
      <c r="I376">
        <v>1524.81</v>
      </c>
      <c r="J376">
        <v>2</v>
      </c>
      <c r="K376">
        <v>1290.94</v>
      </c>
    </row>
    <row r="377" spans="1:11" x14ac:dyDescent="0.3">
      <c r="A377" s="1">
        <v>45049</v>
      </c>
      <c r="B377" t="s">
        <v>11</v>
      </c>
      <c r="C377" t="s">
        <v>12</v>
      </c>
      <c r="D377" t="s">
        <v>27</v>
      </c>
      <c r="E377" t="s">
        <v>20</v>
      </c>
      <c r="F377" t="s">
        <v>26</v>
      </c>
      <c r="G377">
        <v>112.71</v>
      </c>
      <c r="H377">
        <v>1</v>
      </c>
      <c r="I377">
        <v>17.86</v>
      </c>
      <c r="J377">
        <v>1</v>
      </c>
      <c r="K377">
        <v>-137.63999999999999</v>
      </c>
    </row>
    <row r="378" spans="1:11" x14ac:dyDescent="0.3">
      <c r="A378" s="1">
        <v>45171</v>
      </c>
      <c r="B378" t="s">
        <v>23</v>
      </c>
      <c r="C378" t="s">
        <v>24</v>
      </c>
      <c r="D378" t="s">
        <v>25</v>
      </c>
      <c r="E378" t="s">
        <v>20</v>
      </c>
      <c r="F378" t="s">
        <v>16</v>
      </c>
      <c r="G378">
        <v>129.15</v>
      </c>
      <c r="H378">
        <v>13</v>
      </c>
      <c r="I378">
        <v>164.25</v>
      </c>
      <c r="J378">
        <v>0</v>
      </c>
      <c r="K378">
        <v>35.1</v>
      </c>
    </row>
    <row r="379" spans="1:11" x14ac:dyDescent="0.3">
      <c r="A379" s="1">
        <v>45205</v>
      </c>
      <c r="B379" t="s">
        <v>23</v>
      </c>
      <c r="C379" t="s">
        <v>18</v>
      </c>
      <c r="D379" t="s">
        <v>25</v>
      </c>
      <c r="E379" t="s">
        <v>20</v>
      </c>
      <c r="F379" t="s">
        <v>16</v>
      </c>
      <c r="G379">
        <v>163.4</v>
      </c>
      <c r="H379">
        <v>15</v>
      </c>
      <c r="I379">
        <v>1475.61</v>
      </c>
      <c r="J379">
        <v>1</v>
      </c>
      <c r="K379">
        <v>1302.69</v>
      </c>
    </row>
    <row r="380" spans="1:11" x14ac:dyDescent="0.3">
      <c r="A380" s="1">
        <v>45221</v>
      </c>
      <c r="B380" t="s">
        <v>23</v>
      </c>
      <c r="C380" t="s">
        <v>24</v>
      </c>
      <c r="D380" t="s">
        <v>27</v>
      </c>
      <c r="E380" t="s">
        <v>20</v>
      </c>
      <c r="F380" t="s">
        <v>16</v>
      </c>
      <c r="G380">
        <v>57.15</v>
      </c>
      <c r="H380">
        <v>9</v>
      </c>
      <c r="I380">
        <v>832.89</v>
      </c>
      <c r="J380">
        <v>1</v>
      </c>
      <c r="K380">
        <v>762.1</v>
      </c>
    </row>
    <row r="381" spans="1:11" x14ac:dyDescent="0.3">
      <c r="A381" s="1">
        <v>45000</v>
      </c>
      <c r="B381" t="s">
        <v>11</v>
      </c>
      <c r="C381" t="s">
        <v>29</v>
      </c>
      <c r="D381" t="s">
        <v>19</v>
      </c>
      <c r="E381" t="s">
        <v>20</v>
      </c>
      <c r="F381" t="s">
        <v>26</v>
      </c>
      <c r="G381">
        <v>124.94</v>
      </c>
      <c r="H381">
        <v>12</v>
      </c>
      <c r="I381">
        <v>444.93</v>
      </c>
      <c r="J381">
        <v>0</v>
      </c>
      <c r="K381">
        <v>319.99</v>
      </c>
    </row>
    <row r="382" spans="1:11" x14ac:dyDescent="0.3">
      <c r="A382" s="1">
        <v>45244</v>
      </c>
      <c r="B382" t="s">
        <v>23</v>
      </c>
      <c r="C382" t="s">
        <v>29</v>
      </c>
      <c r="D382" t="s">
        <v>19</v>
      </c>
      <c r="E382" t="s">
        <v>14</v>
      </c>
      <c r="F382" t="s">
        <v>16</v>
      </c>
      <c r="G382">
        <v>45.49</v>
      </c>
      <c r="H382">
        <v>20</v>
      </c>
      <c r="I382">
        <v>546.23</v>
      </c>
      <c r="J382">
        <v>2</v>
      </c>
      <c r="K382">
        <v>479.36</v>
      </c>
    </row>
    <row r="383" spans="1:11" x14ac:dyDescent="0.3">
      <c r="A383" s="1">
        <v>45279</v>
      </c>
      <c r="B383" t="s">
        <v>21</v>
      </c>
      <c r="C383" t="s">
        <v>29</v>
      </c>
      <c r="D383" t="s">
        <v>13</v>
      </c>
      <c r="E383" t="s">
        <v>14</v>
      </c>
      <c r="F383" t="s">
        <v>16</v>
      </c>
      <c r="G383">
        <v>198.51</v>
      </c>
      <c r="H383">
        <v>15</v>
      </c>
      <c r="I383">
        <v>1387.62</v>
      </c>
      <c r="J383">
        <v>3</v>
      </c>
      <c r="K383">
        <v>1169.76</v>
      </c>
    </row>
    <row r="384" spans="1:11" x14ac:dyDescent="0.3">
      <c r="A384" s="1">
        <v>45004</v>
      </c>
      <c r="B384" t="s">
        <v>11</v>
      </c>
      <c r="C384" t="s">
        <v>12</v>
      </c>
      <c r="D384" t="s">
        <v>13</v>
      </c>
      <c r="E384" t="s">
        <v>20</v>
      </c>
      <c r="F384" t="s">
        <v>16</v>
      </c>
      <c r="G384">
        <v>6.56</v>
      </c>
      <c r="H384">
        <v>20</v>
      </c>
      <c r="I384">
        <v>627.19000000000005</v>
      </c>
      <c r="J384">
        <v>3</v>
      </c>
      <c r="K384">
        <v>576.36</v>
      </c>
    </row>
    <row r="385" spans="1:11" x14ac:dyDescent="0.3">
      <c r="A385" s="1">
        <v>45227</v>
      </c>
      <c r="B385" t="s">
        <v>23</v>
      </c>
      <c r="C385" t="s">
        <v>12</v>
      </c>
      <c r="D385" t="s">
        <v>13</v>
      </c>
      <c r="E385" t="s">
        <v>14</v>
      </c>
      <c r="F385" t="s">
        <v>22</v>
      </c>
      <c r="G385">
        <v>84.41</v>
      </c>
      <c r="H385">
        <v>3</v>
      </c>
      <c r="I385">
        <v>147.13999999999999</v>
      </c>
      <c r="J385">
        <v>1</v>
      </c>
      <c r="K385">
        <v>16.11</v>
      </c>
    </row>
    <row r="386" spans="1:11" x14ac:dyDescent="0.3">
      <c r="A386" s="1">
        <v>45038</v>
      </c>
      <c r="B386" t="s">
        <v>11</v>
      </c>
      <c r="C386" t="s">
        <v>29</v>
      </c>
      <c r="D386" t="s">
        <v>13</v>
      </c>
      <c r="E386" t="s">
        <v>20</v>
      </c>
      <c r="F386" t="s">
        <v>22</v>
      </c>
      <c r="G386">
        <v>170.56</v>
      </c>
      <c r="H386">
        <v>15</v>
      </c>
      <c r="I386">
        <v>1414</v>
      </c>
      <c r="J386">
        <v>0</v>
      </c>
      <c r="K386">
        <v>1243.44</v>
      </c>
    </row>
    <row r="387" spans="1:11" x14ac:dyDescent="0.3">
      <c r="A387" s="1">
        <v>45238</v>
      </c>
      <c r="B387" t="s">
        <v>23</v>
      </c>
      <c r="C387" t="s">
        <v>29</v>
      </c>
      <c r="D387" t="s">
        <v>13</v>
      </c>
      <c r="E387" t="s">
        <v>20</v>
      </c>
      <c r="F387" t="s">
        <v>26</v>
      </c>
      <c r="G387">
        <v>178.32</v>
      </c>
      <c r="H387">
        <v>3</v>
      </c>
      <c r="I387">
        <v>145.47999999999999</v>
      </c>
      <c r="J387">
        <v>2</v>
      </c>
      <c r="K387">
        <v>-43.22</v>
      </c>
    </row>
    <row r="388" spans="1:11" x14ac:dyDescent="0.3">
      <c r="A388" s="1">
        <v>45200</v>
      </c>
      <c r="B388" t="s">
        <v>23</v>
      </c>
      <c r="C388" t="s">
        <v>18</v>
      </c>
      <c r="D388" t="s">
        <v>19</v>
      </c>
      <c r="E388" t="s">
        <v>20</v>
      </c>
      <c r="F388" t="s">
        <v>26</v>
      </c>
      <c r="G388">
        <v>142.66</v>
      </c>
      <c r="H388">
        <v>13</v>
      </c>
      <c r="I388">
        <v>543.74</v>
      </c>
      <c r="J388">
        <v>3</v>
      </c>
      <c r="K388">
        <v>324.95</v>
      </c>
    </row>
    <row r="389" spans="1:11" x14ac:dyDescent="0.3">
      <c r="A389" s="1">
        <v>45104</v>
      </c>
      <c r="B389" t="s">
        <v>17</v>
      </c>
      <c r="C389" t="s">
        <v>24</v>
      </c>
      <c r="D389" t="s">
        <v>25</v>
      </c>
      <c r="E389" t="s">
        <v>20</v>
      </c>
      <c r="F389" t="s">
        <v>16</v>
      </c>
      <c r="G389">
        <v>98.91</v>
      </c>
      <c r="H389">
        <v>17</v>
      </c>
      <c r="I389">
        <v>1413.27</v>
      </c>
      <c r="J389">
        <v>3</v>
      </c>
      <c r="K389">
        <v>1239.3</v>
      </c>
    </row>
    <row r="390" spans="1:11" x14ac:dyDescent="0.3">
      <c r="A390" s="1">
        <v>44999</v>
      </c>
      <c r="B390" t="s">
        <v>11</v>
      </c>
      <c r="C390" t="s">
        <v>29</v>
      </c>
      <c r="D390" t="s">
        <v>25</v>
      </c>
      <c r="E390" t="s">
        <v>20</v>
      </c>
      <c r="F390" t="s">
        <v>15</v>
      </c>
      <c r="G390">
        <v>25.39</v>
      </c>
      <c r="H390">
        <v>3</v>
      </c>
      <c r="I390">
        <v>211.95</v>
      </c>
      <c r="J390">
        <v>3</v>
      </c>
      <c r="K390">
        <v>56.85</v>
      </c>
    </row>
    <row r="391" spans="1:11" x14ac:dyDescent="0.3">
      <c r="A391" s="1">
        <v>45106</v>
      </c>
      <c r="B391" t="s">
        <v>17</v>
      </c>
      <c r="C391" t="s">
        <v>18</v>
      </c>
      <c r="D391" t="s">
        <v>19</v>
      </c>
      <c r="E391" t="s">
        <v>20</v>
      </c>
      <c r="F391" t="s">
        <v>26</v>
      </c>
      <c r="G391">
        <v>134.5</v>
      </c>
      <c r="H391">
        <v>1</v>
      </c>
      <c r="I391">
        <v>21.31</v>
      </c>
      <c r="J391">
        <v>0</v>
      </c>
      <c r="K391">
        <v>-113.19</v>
      </c>
    </row>
    <row r="392" spans="1:11" x14ac:dyDescent="0.3">
      <c r="A392" s="1">
        <v>44938</v>
      </c>
      <c r="B392" t="s">
        <v>21</v>
      </c>
      <c r="C392" t="s">
        <v>24</v>
      </c>
      <c r="D392" t="s">
        <v>19</v>
      </c>
      <c r="E392" t="s">
        <v>20</v>
      </c>
      <c r="F392" t="s">
        <v>26</v>
      </c>
      <c r="G392">
        <v>132.22</v>
      </c>
      <c r="H392">
        <v>13</v>
      </c>
      <c r="I392">
        <v>240.36</v>
      </c>
      <c r="J392">
        <v>3</v>
      </c>
      <c r="K392">
        <v>50.6</v>
      </c>
    </row>
    <row r="393" spans="1:11" x14ac:dyDescent="0.3">
      <c r="A393" s="1">
        <v>45059</v>
      </c>
      <c r="B393" t="s">
        <v>11</v>
      </c>
      <c r="C393" t="s">
        <v>12</v>
      </c>
      <c r="D393" t="s">
        <v>27</v>
      </c>
      <c r="E393" t="s">
        <v>14</v>
      </c>
      <c r="F393" t="s">
        <v>22</v>
      </c>
      <c r="G393">
        <v>198.87</v>
      </c>
      <c r="H393">
        <v>18</v>
      </c>
      <c r="I393">
        <v>1027.82</v>
      </c>
      <c r="J393">
        <v>2</v>
      </c>
      <c r="K393">
        <v>790.21</v>
      </c>
    </row>
    <row r="394" spans="1:11" x14ac:dyDescent="0.3">
      <c r="A394" s="1">
        <v>44940</v>
      </c>
      <c r="B394" t="s">
        <v>21</v>
      </c>
      <c r="C394" t="s">
        <v>18</v>
      </c>
      <c r="D394" t="s">
        <v>19</v>
      </c>
      <c r="E394" t="s">
        <v>20</v>
      </c>
      <c r="F394" t="s">
        <v>22</v>
      </c>
      <c r="G394">
        <v>134.35</v>
      </c>
      <c r="H394">
        <v>3</v>
      </c>
      <c r="I394">
        <v>219.82</v>
      </c>
      <c r="J394">
        <v>2</v>
      </c>
      <c r="K394">
        <v>26.32</v>
      </c>
    </row>
    <row r="395" spans="1:11" x14ac:dyDescent="0.3">
      <c r="A395" s="1">
        <v>45260</v>
      </c>
      <c r="B395" t="s">
        <v>23</v>
      </c>
      <c r="C395" t="s">
        <v>18</v>
      </c>
      <c r="D395" t="s">
        <v>13</v>
      </c>
      <c r="E395" t="s">
        <v>20</v>
      </c>
      <c r="F395" t="s">
        <v>16</v>
      </c>
      <c r="G395">
        <v>178.75</v>
      </c>
      <c r="H395">
        <v>4</v>
      </c>
      <c r="I395">
        <v>270.7</v>
      </c>
      <c r="J395">
        <v>2</v>
      </c>
      <c r="K395">
        <v>-3.82</v>
      </c>
    </row>
    <row r="396" spans="1:11" x14ac:dyDescent="0.3">
      <c r="A396" s="1">
        <v>45099</v>
      </c>
      <c r="B396" t="s">
        <v>17</v>
      </c>
      <c r="C396" t="s">
        <v>12</v>
      </c>
      <c r="D396" t="s">
        <v>27</v>
      </c>
      <c r="E396" t="s">
        <v>20</v>
      </c>
      <c r="F396" t="s">
        <v>26</v>
      </c>
      <c r="G396">
        <v>41.82</v>
      </c>
      <c r="H396">
        <v>10</v>
      </c>
      <c r="I396">
        <v>232.72</v>
      </c>
      <c r="J396">
        <v>3</v>
      </c>
      <c r="K396">
        <v>64.63</v>
      </c>
    </row>
    <row r="397" spans="1:11" x14ac:dyDescent="0.3">
      <c r="A397" s="1">
        <v>45191</v>
      </c>
      <c r="B397" t="s">
        <v>23</v>
      </c>
      <c r="C397" t="s">
        <v>29</v>
      </c>
      <c r="D397" t="s">
        <v>25</v>
      </c>
      <c r="E397" t="s">
        <v>20</v>
      </c>
      <c r="F397" t="s">
        <v>15</v>
      </c>
      <c r="G397">
        <v>62.45</v>
      </c>
      <c r="H397">
        <v>8</v>
      </c>
      <c r="I397">
        <v>569.04</v>
      </c>
      <c r="J397">
        <v>2</v>
      </c>
      <c r="K397">
        <v>427.04</v>
      </c>
    </row>
    <row r="398" spans="1:11" x14ac:dyDescent="0.3">
      <c r="A398" s="1">
        <v>44933</v>
      </c>
      <c r="B398" t="s">
        <v>21</v>
      </c>
      <c r="C398" t="s">
        <v>29</v>
      </c>
      <c r="D398" t="s">
        <v>13</v>
      </c>
      <c r="E398" t="s">
        <v>14</v>
      </c>
      <c r="F398" t="s">
        <v>16</v>
      </c>
      <c r="G398">
        <v>166.01</v>
      </c>
      <c r="H398">
        <v>17</v>
      </c>
      <c r="I398">
        <v>1251.94</v>
      </c>
      <c r="J398">
        <v>3</v>
      </c>
      <c r="K398">
        <v>979.4</v>
      </c>
    </row>
    <row r="399" spans="1:11" x14ac:dyDescent="0.3">
      <c r="A399" s="1">
        <v>45108</v>
      </c>
      <c r="B399" t="s">
        <v>17</v>
      </c>
      <c r="C399" t="s">
        <v>24</v>
      </c>
      <c r="D399" t="s">
        <v>25</v>
      </c>
      <c r="E399" t="s">
        <v>14</v>
      </c>
      <c r="F399" t="s">
        <v>15</v>
      </c>
      <c r="G399">
        <v>113.42</v>
      </c>
      <c r="H399">
        <v>15</v>
      </c>
      <c r="I399">
        <v>456.28</v>
      </c>
      <c r="J399">
        <v>1</v>
      </c>
      <c r="K399">
        <v>310.58999999999997</v>
      </c>
    </row>
    <row r="400" spans="1:11" x14ac:dyDescent="0.3">
      <c r="A400" s="1">
        <v>45151</v>
      </c>
      <c r="B400" t="s">
        <v>17</v>
      </c>
      <c r="C400" t="s">
        <v>24</v>
      </c>
      <c r="D400" t="s">
        <v>25</v>
      </c>
      <c r="E400" t="s">
        <v>20</v>
      </c>
      <c r="F400" t="s">
        <v>16</v>
      </c>
      <c r="G400">
        <v>10.86</v>
      </c>
      <c r="H400">
        <v>2</v>
      </c>
      <c r="I400">
        <v>148.32</v>
      </c>
      <c r="J400">
        <v>2</v>
      </c>
      <c r="K400">
        <v>121.97</v>
      </c>
    </row>
    <row r="401" spans="1:11" x14ac:dyDescent="0.3">
      <c r="A401" s="1">
        <v>45122</v>
      </c>
      <c r="B401" t="s">
        <v>17</v>
      </c>
      <c r="C401" t="s">
        <v>29</v>
      </c>
      <c r="D401" t="s">
        <v>27</v>
      </c>
      <c r="E401" t="s">
        <v>14</v>
      </c>
      <c r="F401" t="s">
        <v>26</v>
      </c>
      <c r="G401">
        <v>45.01</v>
      </c>
      <c r="H401">
        <v>8</v>
      </c>
      <c r="I401">
        <v>502.72</v>
      </c>
      <c r="J401">
        <v>2</v>
      </c>
      <c r="K401">
        <v>420.69</v>
      </c>
    </row>
    <row r="402" spans="1:11" x14ac:dyDescent="0.3">
      <c r="A402" s="1">
        <v>45040</v>
      </c>
      <c r="B402" t="s">
        <v>11</v>
      </c>
      <c r="C402" t="s">
        <v>18</v>
      </c>
      <c r="D402" t="s">
        <v>28</v>
      </c>
      <c r="E402" t="s">
        <v>14</v>
      </c>
      <c r="F402" t="s">
        <v>26</v>
      </c>
      <c r="G402">
        <v>171.51</v>
      </c>
      <c r="H402">
        <v>11</v>
      </c>
      <c r="I402">
        <v>1084.1400000000001</v>
      </c>
      <c r="J402">
        <v>0</v>
      </c>
      <c r="K402">
        <v>912.63</v>
      </c>
    </row>
    <row r="403" spans="1:11" x14ac:dyDescent="0.3">
      <c r="A403" s="1">
        <v>45047</v>
      </c>
      <c r="B403" t="s">
        <v>11</v>
      </c>
      <c r="C403" t="s">
        <v>12</v>
      </c>
      <c r="D403" t="s">
        <v>25</v>
      </c>
      <c r="E403" t="s">
        <v>14</v>
      </c>
      <c r="F403" t="s">
        <v>15</v>
      </c>
      <c r="G403">
        <v>28.83</v>
      </c>
      <c r="H403">
        <v>18</v>
      </c>
      <c r="I403">
        <v>1591.95</v>
      </c>
      <c r="J403">
        <v>2</v>
      </c>
      <c r="K403">
        <v>1502.66</v>
      </c>
    </row>
    <row r="404" spans="1:11" x14ac:dyDescent="0.3">
      <c r="A404" s="1">
        <v>45005</v>
      </c>
      <c r="B404" t="s">
        <v>11</v>
      </c>
      <c r="C404" t="s">
        <v>29</v>
      </c>
      <c r="D404" t="s">
        <v>28</v>
      </c>
      <c r="E404" t="s">
        <v>20</v>
      </c>
      <c r="F404" t="s">
        <v>22</v>
      </c>
      <c r="G404">
        <v>178.36</v>
      </c>
      <c r="H404">
        <v>4</v>
      </c>
      <c r="I404">
        <v>275.52999999999997</v>
      </c>
      <c r="J404">
        <v>0</v>
      </c>
      <c r="K404">
        <v>97.17</v>
      </c>
    </row>
    <row r="405" spans="1:11" x14ac:dyDescent="0.3">
      <c r="A405" s="1">
        <v>44946</v>
      </c>
      <c r="B405" t="s">
        <v>21</v>
      </c>
      <c r="C405" t="s">
        <v>29</v>
      </c>
      <c r="D405" t="s">
        <v>19</v>
      </c>
      <c r="E405" t="s">
        <v>14</v>
      </c>
      <c r="F405" t="s">
        <v>15</v>
      </c>
      <c r="G405">
        <v>95.68</v>
      </c>
      <c r="H405">
        <v>19</v>
      </c>
      <c r="I405">
        <v>1341.99</v>
      </c>
      <c r="J405">
        <v>3</v>
      </c>
      <c r="K405">
        <v>1115.46</v>
      </c>
    </row>
    <row r="406" spans="1:11" x14ac:dyDescent="0.3">
      <c r="A406" s="1">
        <v>45035</v>
      </c>
      <c r="B406" t="s">
        <v>11</v>
      </c>
      <c r="C406" t="s">
        <v>12</v>
      </c>
      <c r="D406" t="s">
        <v>19</v>
      </c>
      <c r="E406" t="s">
        <v>14</v>
      </c>
      <c r="F406" t="s">
        <v>15</v>
      </c>
      <c r="G406">
        <v>190.12</v>
      </c>
      <c r="H406">
        <v>7</v>
      </c>
      <c r="I406">
        <v>597.20000000000005</v>
      </c>
      <c r="J406">
        <v>0</v>
      </c>
      <c r="K406">
        <v>407.08</v>
      </c>
    </row>
    <row r="407" spans="1:11" x14ac:dyDescent="0.3">
      <c r="A407" s="1">
        <v>45285</v>
      </c>
      <c r="B407" t="s">
        <v>21</v>
      </c>
      <c r="C407" t="s">
        <v>29</v>
      </c>
      <c r="D407" t="s">
        <v>27</v>
      </c>
      <c r="E407" t="s">
        <v>14</v>
      </c>
      <c r="F407" t="s">
        <v>26</v>
      </c>
      <c r="G407">
        <v>77.47</v>
      </c>
      <c r="H407">
        <v>15</v>
      </c>
      <c r="I407">
        <v>304.51</v>
      </c>
      <c r="J407">
        <v>0</v>
      </c>
      <c r="K407">
        <v>227.04</v>
      </c>
    </row>
    <row r="408" spans="1:11" x14ac:dyDescent="0.3">
      <c r="A408" s="1">
        <v>45121</v>
      </c>
      <c r="B408" t="s">
        <v>17</v>
      </c>
      <c r="C408" t="s">
        <v>18</v>
      </c>
      <c r="D408" t="s">
        <v>19</v>
      </c>
      <c r="E408" t="s">
        <v>20</v>
      </c>
      <c r="F408" t="s">
        <v>26</v>
      </c>
      <c r="G408">
        <v>99.9</v>
      </c>
      <c r="H408">
        <v>8</v>
      </c>
      <c r="I408">
        <v>198.94</v>
      </c>
      <c r="J408">
        <v>0</v>
      </c>
      <c r="K408">
        <v>99.04</v>
      </c>
    </row>
    <row r="409" spans="1:11" x14ac:dyDescent="0.3">
      <c r="A409" s="1">
        <v>45113</v>
      </c>
      <c r="B409" t="s">
        <v>17</v>
      </c>
      <c r="C409" t="s">
        <v>29</v>
      </c>
      <c r="D409" t="s">
        <v>19</v>
      </c>
      <c r="E409" t="s">
        <v>20</v>
      </c>
      <c r="F409" t="s">
        <v>16</v>
      </c>
      <c r="G409">
        <v>99.06</v>
      </c>
      <c r="H409">
        <v>20</v>
      </c>
      <c r="I409">
        <v>1215.31</v>
      </c>
      <c r="J409">
        <v>0</v>
      </c>
      <c r="K409">
        <v>1116.25</v>
      </c>
    </row>
    <row r="410" spans="1:11" x14ac:dyDescent="0.3">
      <c r="A410" s="1">
        <v>45146</v>
      </c>
      <c r="B410" t="s">
        <v>17</v>
      </c>
      <c r="C410" t="s">
        <v>24</v>
      </c>
      <c r="D410" t="s">
        <v>13</v>
      </c>
      <c r="E410" t="s">
        <v>20</v>
      </c>
      <c r="F410" t="s">
        <v>16</v>
      </c>
      <c r="G410">
        <v>22.16</v>
      </c>
      <c r="H410">
        <v>4</v>
      </c>
      <c r="I410">
        <v>141.4</v>
      </c>
      <c r="J410">
        <v>3</v>
      </c>
      <c r="K410">
        <v>55.36</v>
      </c>
    </row>
    <row r="411" spans="1:11" x14ac:dyDescent="0.3">
      <c r="A411" s="1">
        <v>44970</v>
      </c>
      <c r="B411" t="s">
        <v>21</v>
      </c>
      <c r="C411" t="s">
        <v>24</v>
      </c>
      <c r="D411" t="s">
        <v>28</v>
      </c>
      <c r="E411" t="s">
        <v>20</v>
      </c>
      <c r="F411" t="s">
        <v>22</v>
      </c>
      <c r="G411">
        <v>190.96</v>
      </c>
      <c r="H411">
        <v>1</v>
      </c>
      <c r="I411">
        <v>10.23</v>
      </c>
      <c r="J411">
        <v>0</v>
      </c>
      <c r="K411">
        <v>-180.73</v>
      </c>
    </row>
    <row r="412" spans="1:11" x14ac:dyDescent="0.3">
      <c r="A412" s="1">
        <v>45196</v>
      </c>
      <c r="B412" t="s">
        <v>23</v>
      </c>
      <c r="C412" t="s">
        <v>24</v>
      </c>
      <c r="D412" t="s">
        <v>19</v>
      </c>
      <c r="E412" t="s">
        <v>20</v>
      </c>
      <c r="F412" t="s">
        <v>15</v>
      </c>
      <c r="G412">
        <v>19.16</v>
      </c>
      <c r="H412">
        <v>20</v>
      </c>
      <c r="I412">
        <v>667.56</v>
      </c>
      <c r="J412">
        <v>2</v>
      </c>
      <c r="K412">
        <v>631.72</v>
      </c>
    </row>
    <row r="413" spans="1:11" x14ac:dyDescent="0.3">
      <c r="A413" s="1">
        <v>45214</v>
      </c>
      <c r="B413" t="s">
        <v>23</v>
      </c>
      <c r="C413" t="s">
        <v>24</v>
      </c>
      <c r="D413" t="s">
        <v>13</v>
      </c>
      <c r="E413" t="s">
        <v>20</v>
      </c>
      <c r="F413" t="s">
        <v>26</v>
      </c>
      <c r="G413">
        <v>60.09</v>
      </c>
      <c r="H413">
        <v>17</v>
      </c>
      <c r="I413">
        <v>1491.47</v>
      </c>
      <c r="J413">
        <v>3</v>
      </c>
      <c r="K413">
        <v>1355.8</v>
      </c>
    </row>
    <row r="414" spans="1:11" x14ac:dyDescent="0.3">
      <c r="A414" s="1">
        <v>45266</v>
      </c>
      <c r="B414" t="s">
        <v>21</v>
      </c>
      <c r="C414" t="s">
        <v>18</v>
      </c>
      <c r="D414" t="s">
        <v>13</v>
      </c>
      <c r="E414" t="s">
        <v>20</v>
      </c>
      <c r="F414" t="s">
        <v>15</v>
      </c>
      <c r="G414">
        <v>35.67</v>
      </c>
      <c r="H414">
        <v>19</v>
      </c>
      <c r="I414">
        <v>1013.9</v>
      </c>
      <c r="J414">
        <v>3</v>
      </c>
      <c r="K414">
        <v>855.97</v>
      </c>
    </row>
    <row r="415" spans="1:11" x14ac:dyDescent="0.3">
      <c r="A415" s="1">
        <v>44942</v>
      </c>
      <c r="B415" t="s">
        <v>21</v>
      </c>
      <c r="C415" t="s">
        <v>24</v>
      </c>
      <c r="D415" t="s">
        <v>13</v>
      </c>
      <c r="E415" t="s">
        <v>14</v>
      </c>
      <c r="F415" t="s">
        <v>26</v>
      </c>
      <c r="G415">
        <v>170.13</v>
      </c>
      <c r="H415">
        <v>11</v>
      </c>
      <c r="I415">
        <v>511.14</v>
      </c>
      <c r="J415">
        <v>3</v>
      </c>
      <c r="K415">
        <v>287.36</v>
      </c>
    </row>
    <row r="416" spans="1:11" x14ac:dyDescent="0.3">
      <c r="A416" s="1">
        <v>45139</v>
      </c>
      <c r="B416" t="s">
        <v>17</v>
      </c>
      <c r="C416" t="s">
        <v>24</v>
      </c>
      <c r="D416" t="s">
        <v>13</v>
      </c>
      <c r="E416" t="s">
        <v>20</v>
      </c>
      <c r="F416" t="s">
        <v>22</v>
      </c>
      <c r="G416">
        <v>8.51</v>
      </c>
      <c r="H416">
        <v>17</v>
      </c>
      <c r="I416">
        <v>901.33</v>
      </c>
      <c r="J416">
        <v>1</v>
      </c>
      <c r="K416">
        <v>880.72</v>
      </c>
    </row>
    <row r="417" spans="1:11" x14ac:dyDescent="0.3">
      <c r="A417" s="1">
        <v>45269</v>
      </c>
      <c r="B417" t="s">
        <v>21</v>
      </c>
      <c r="C417" t="s">
        <v>18</v>
      </c>
      <c r="D417" t="s">
        <v>25</v>
      </c>
      <c r="E417" t="s">
        <v>20</v>
      </c>
      <c r="F417" t="s">
        <v>26</v>
      </c>
      <c r="G417">
        <v>104.1</v>
      </c>
      <c r="H417">
        <v>11</v>
      </c>
      <c r="I417">
        <v>365.32</v>
      </c>
      <c r="J417">
        <v>2</v>
      </c>
      <c r="K417">
        <v>177.13</v>
      </c>
    </row>
    <row r="418" spans="1:11" x14ac:dyDescent="0.3">
      <c r="A418" s="1">
        <v>45182</v>
      </c>
      <c r="B418" t="s">
        <v>23</v>
      </c>
      <c r="C418" t="s">
        <v>24</v>
      </c>
      <c r="D418" t="s">
        <v>19</v>
      </c>
      <c r="E418" t="s">
        <v>14</v>
      </c>
      <c r="F418" t="s">
        <v>26</v>
      </c>
      <c r="G418">
        <v>71.14</v>
      </c>
      <c r="H418">
        <v>4</v>
      </c>
      <c r="I418">
        <v>123.57</v>
      </c>
      <c r="J418">
        <v>2</v>
      </c>
      <c r="K418">
        <v>14.68</v>
      </c>
    </row>
    <row r="419" spans="1:11" x14ac:dyDescent="0.3">
      <c r="A419" s="1">
        <v>45240</v>
      </c>
      <c r="B419" t="s">
        <v>23</v>
      </c>
      <c r="C419" t="s">
        <v>24</v>
      </c>
      <c r="D419" t="s">
        <v>19</v>
      </c>
      <c r="E419" t="s">
        <v>20</v>
      </c>
      <c r="F419" t="s">
        <v>15</v>
      </c>
      <c r="G419">
        <v>28.2</v>
      </c>
      <c r="H419">
        <v>10</v>
      </c>
      <c r="I419">
        <v>583.63</v>
      </c>
      <c r="J419">
        <v>0</v>
      </c>
      <c r="K419">
        <v>555.42999999999995</v>
      </c>
    </row>
    <row r="420" spans="1:11" x14ac:dyDescent="0.3">
      <c r="A420" s="1">
        <v>45003</v>
      </c>
      <c r="B420" t="s">
        <v>11</v>
      </c>
      <c r="C420" t="s">
        <v>24</v>
      </c>
      <c r="D420" t="s">
        <v>19</v>
      </c>
      <c r="E420" t="s">
        <v>14</v>
      </c>
      <c r="F420" t="s">
        <v>16</v>
      </c>
      <c r="G420">
        <v>43.03</v>
      </c>
      <c r="H420">
        <v>18</v>
      </c>
      <c r="I420">
        <v>897.9</v>
      </c>
      <c r="J420">
        <v>0</v>
      </c>
      <c r="K420">
        <v>854.87</v>
      </c>
    </row>
    <row r="421" spans="1:11" x14ac:dyDescent="0.3">
      <c r="A421" s="1">
        <v>45000</v>
      </c>
      <c r="B421" t="s">
        <v>11</v>
      </c>
      <c r="C421" t="s">
        <v>18</v>
      </c>
      <c r="D421" t="s">
        <v>27</v>
      </c>
      <c r="E421" t="s">
        <v>14</v>
      </c>
      <c r="F421" t="s">
        <v>26</v>
      </c>
      <c r="G421">
        <v>32</v>
      </c>
      <c r="H421">
        <v>13</v>
      </c>
      <c r="I421">
        <v>939.95</v>
      </c>
      <c r="J421">
        <v>2</v>
      </c>
      <c r="K421">
        <v>881.99</v>
      </c>
    </row>
    <row r="422" spans="1:11" x14ac:dyDescent="0.3">
      <c r="A422" s="1">
        <v>45095</v>
      </c>
      <c r="B422" t="s">
        <v>17</v>
      </c>
      <c r="C422" t="s">
        <v>12</v>
      </c>
      <c r="D422" t="s">
        <v>25</v>
      </c>
      <c r="E422" t="s">
        <v>14</v>
      </c>
      <c r="F422" t="s">
        <v>15</v>
      </c>
      <c r="G422">
        <v>95.28</v>
      </c>
      <c r="H422">
        <v>19</v>
      </c>
      <c r="I422">
        <v>1516.95</v>
      </c>
      <c r="J422">
        <v>2</v>
      </c>
      <c r="K422">
        <v>1358.43</v>
      </c>
    </row>
    <row r="423" spans="1:11" x14ac:dyDescent="0.3">
      <c r="A423" s="1">
        <v>45199</v>
      </c>
      <c r="B423" t="s">
        <v>23</v>
      </c>
      <c r="C423" t="s">
        <v>12</v>
      </c>
      <c r="D423" t="s">
        <v>25</v>
      </c>
      <c r="E423" t="s">
        <v>20</v>
      </c>
      <c r="F423" t="s">
        <v>26</v>
      </c>
      <c r="G423">
        <v>177.81</v>
      </c>
      <c r="H423">
        <v>15</v>
      </c>
      <c r="I423">
        <v>1490.67</v>
      </c>
      <c r="J423">
        <v>0</v>
      </c>
      <c r="K423">
        <v>1312.86</v>
      </c>
    </row>
    <row r="424" spans="1:11" x14ac:dyDescent="0.3">
      <c r="A424" s="1">
        <v>45145</v>
      </c>
      <c r="B424" t="s">
        <v>17</v>
      </c>
      <c r="C424" t="s">
        <v>24</v>
      </c>
      <c r="D424" t="s">
        <v>25</v>
      </c>
      <c r="E424" t="s">
        <v>20</v>
      </c>
      <c r="F424" t="s">
        <v>16</v>
      </c>
      <c r="G424">
        <v>25.34</v>
      </c>
      <c r="H424">
        <v>17</v>
      </c>
      <c r="I424">
        <v>230.6</v>
      </c>
      <c r="J424">
        <v>1</v>
      </c>
      <c r="K424">
        <v>173.61</v>
      </c>
    </row>
    <row r="425" spans="1:11" x14ac:dyDescent="0.3">
      <c r="A425" s="1">
        <v>45264</v>
      </c>
      <c r="B425" t="s">
        <v>21</v>
      </c>
      <c r="C425" t="s">
        <v>18</v>
      </c>
      <c r="D425" t="s">
        <v>28</v>
      </c>
      <c r="E425" t="s">
        <v>14</v>
      </c>
      <c r="F425" t="s">
        <v>15</v>
      </c>
      <c r="G425">
        <v>47.84</v>
      </c>
      <c r="H425">
        <v>15</v>
      </c>
      <c r="I425">
        <v>1427.37</v>
      </c>
      <c r="J425">
        <v>2</v>
      </c>
      <c r="K425">
        <v>1288.2</v>
      </c>
    </row>
    <row r="426" spans="1:11" x14ac:dyDescent="0.3">
      <c r="A426" s="1">
        <v>45237</v>
      </c>
      <c r="B426" t="s">
        <v>23</v>
      </c>
      <c r="C426" t="s">
        <v>12</v>
      </c>
      <c r="D426" t="s">
        <v>19</v>
      </c>
      <c r="E426" t="s">
        <v>14</v>
      </c>
      <c r="F426" t="s">
        <v>15</v>
      </c>
      <c r="G426">
        <v>26.09</v>
      </c>
      <c r="H426">
        <v>7</v>
      </c>
      <c r="I426">
        <v>75.760000000000005</v>
      </c>
      <c r="J426">
        <v>2</v>
      </c>
      <c r="K426">
        <v>0.38</v>
      </c>
    </row>
    <row r="427" spans="1:11" x14ac:dyDescent="0.3">
      <c r="A427" s="1">
        <v>44981</v>
      </c>
      <c r="B427" t="s">
        <v>21</v>
      </c>
      <c r="C427" t="s">
        <v>29</v>
      </c>
      <c r="D427" t="s">
        <v>27</v>
      </c>
      <c r="E427" t="s">
        <v>14</v>
      </c>
      <c r="F427" t="s">
        <v>26</v>
      </c>
      <c r="G427">
        <v>10.1</v>
      </c>
      <c r="H427">
        <v>9</v>
      </c>
      <c r="I427">
        <v>596.09</v>
      </c>
      <c r="J427">
        <v>1</v>
      </c>
      <c r="K427">
        <v>558.94000000000005</v>
      </c>
    </row>
    <row r="428" spans="1:11" x14ac:dyDescent="0.3">
      <c r="A428" s="1">
        <v>45180</v>
      </c>
      <c r="B428" t="s">
        <v>23</v>
      </c>
      <c r="C428" t="s">
        <v>24</v>
      </c>
      <c r="D428" t="s">
        <v>25</v>
      </c>
      <c r="E428" t="s">
        <v>20</v>
      </c>
      <c r="F428" t="s">
        <v>16</v>
      </c>
      <c r="G428">
        <v>160.66</v>
      </c>
      <c r="H428">
        <v>4</v>
      </c>
      <c r="I428">
        <v>46.32</v>
      </c>
      <c r="J428">
        <v>3</v>
      </c>
      <c r="K428">
        <v>-139.84</v>
      </c>
    </row>
    <row r="429" spans="1:11" x14ac:dyDescent="0.3">
      <c r="A429" s="1">
        <v>45040</v>
      </c>
      <c r="B429" t="s">
        <v>11</v>
      </c>
      <c r="C429" t="s">
        <v>24</v>
      </c>
      <c r="D429" t="s">
        <v>19</v>
      </c>
      <c r="E429" t="s">
        <v>20</v>
      </c>
      <c r="F429" t="s">
        <v>26</v>
      </c>
      <c r="G429">
        <v>119.13</v>
      </c>
      <c r="H429">
        <v>20</v>
      </c>
      <c r="I429">
        <v>1868.72</v>
      </c>
      <c r="J429">
        <v>2</v>
      </c>
      <c r="K429">
        <v>1660.41</v>
      </c>
    </row>
    <row r="430" spans="1:11" x14ac:dyDescent="0.3">
      <c r="A430" s="1">
        <v>45246</v>
      </c>
      <c r="B430" t="s">
        <v>23</v>
      </c>
      <c r="C430" t="s">
        <v>24</v>
      </c>
      <c r="D430" t="s">
        <v>25</v>
      </c>
      <c r="E430" t="s">
        <v>14</v>
      </c>
      <c r="F430" t="s">
        <v>15</v>
      </c>
      <c r="G430">
        <v>84.67</v>
      </c>
      <c r="H430">
        <v>17</v>
      </c>
      <c r="I430">
        <v>1698.54</v>
      </c>
      <c r="J430">
        <v>1</v>
      </c>
      <c r="K430">
        <v>1580.49</v>
      </c>
    </row>
    <row r="431" spans="1:11" x14ac:dyDescent="0.3">
      <c r="A431" s="1">
        <v>45092</v>
      </c>
      <c r="B431" t="s">
        <v>17</v>
      </c>
      <c r="C431" t="s">
        <v>18</v>
      </c>
      <c r="D431" t="s">
        <v>25</v>
      </c>
      <c r="E431" t="s">
        <v>14</v>
      </c>
      <c r="F431" t="s">
        <v>22</v>
      </c>
      <c r="G431">
        <v>181.9</v>
      </c>
      <c r="H431">
        <v>2</v>
      </c>
      <c r="I431">
        <v>190.05</v>
      </c>
      <c r="J431">
        <v>2</v>
      </c>
      <c r="K431">
        <v>-39.44</v>
      </c>
    </row>
    <row r="432" spans="1:11" x14ac:dyDescent="0.3">
      <c r="A432" s="1">
        <v>45268</v>
      </c>
      <c r="B432" t="s">
        <v>21</v>
      </c>
      <c r="C432" t="s">
        <v>12</v>
      </c>
      <c r="D432" t="s">
        <v>19</v>
      </c>
      <c r="E432" t="s">
        <v>20</v>
      </c>
      <c r="F432" t="s">
        <v>15</v>
      </c>
      <c r="G432">
        <v>148.41999999999999</v>
      </c>
      <c r="H432">
        <v>11</v>
      </c>
      <c r="I432">
        <v>853.13</v>
      </c>
      <c r="J432">
        <v>1</v>
      </c>
      <c r="K432">
        <v>691.16</v>
      </c>
    </row>
    <row r="433" spans="1:11" x14ac:dyDescent="0.3">
      <c r="A433" s="1">
        <v>45020</v>
      </c>
      <c r="B433" t="s">
        <v>11</v>
      </c>
      <c r="C433" t="s">
        <v>24</v>
      </c>
      <c r="D433" t="s">
        <v>27</v>
      </c>
      <c r="E433" t="s">
        <v>20</v>
      </c>
      <c r="F433" t="s">
        <v>22</v>
      </c>
      <c r="G433">
        <v>194.47</v>
      </c>
      <c r="H433">
        <v>18</v>
      </c>
      <c r="I433">
        <v>1126.98</v>
      </c>
      <c r="J433">
        <v>1</v>
      </c>
      <c r="K433">
        <v>900.35</v>
      </c>
    </row>
    <row r="434" spans="1:11" x14ac:dyDescent="0.3">
      <c r="A434" s="1">
        <v>45036</v>
      </c>
      <c r="B434" t="s">
        <v>11</v>
      </c>
      <c r="C434" t="s">
        <v>29</v>
      </c>
      <c r="D434" t="s">
        <v>25</v>
      </c>
      <c r="E434" t="s">
        <v>14</v>
      </c>
      <c r="F434" t="s">
        <v>26</v>
      </c>
      <c r="G434">
        <v>111.84</v>
      </c>
      <c r="H434">
        <v>18</v>
      </c>
      <c r="I434">
        <v>1159.79</v>
      </c>
      <c r="J434">
        <v>2</v>
      </c>
      <c r="K434">
        <v>952.9</v>
      </c>
    </row>
    <row r="435" spans="1:11" x14ac:dyDescent="0.3">
      <c r="A435" s="1">
        <v>45271</v>
      </c>
      <c r="B435" t="s">
        <v>21</v>
      </c>
      <c r="C435" t="s">
        <v>12</v>
      </c>
      <c r="D435" t="s">
        <v>25</v>
      </c>
      <c r="E435" t="s">
        <v>20</v>
      </c>
      <c r="F435" t="s">
        <v>22</v>
      </c>
      <c r="G435">
        <v>142.61000000000001</v>
      </c>
      <c r="H435">
        <v>3</v>
      </c>
      <c r="I435">
        <v>83.63</v>
      </c>
      <c r="J435">
        <v>1</v>
      </c>
      <c r="K435">
        <v>-107.58</v>
      </c>
    </row>
    <row r="436" spans="1:11" x14ac:dyDescent="0.3">
      <c r="A436" s="1">
        <v>45050</v>
      </c>
      <c r="B436" t="s">
        <v>11</v>
      </c>
      <c r="C436" t="s">
        <v>29</v>
      </c>
      <c r="D436" t="s">
        <v>27</v>
      </c>
      <c r="E436" t="s">
        <v>20</v>
      </c>
      <c r="F436" t="s">
        <v>22</v>
      </c>
      <c r="G436">
        <v>87.16</v>
      </c>
      <c r="H436">
        <v>1</v>
      </c>
      <c r="I436">
        <v>13.45</v>
      </c>
      <c r="J436">
        <v>0</v>
      </c>
      <c r="K436">
        <v>-73.709999999999994</v>
      </c>
    </row>
    <row r="437" spans="1:11" x14ac:dyDescent="0.3">
      <c r="A437" s="1">
        <v>45204</v>
      </c>
      <c r="B437" t="s">
        <v>23</v>
      </c>
      <c r="C437" t="s">
        <v>24</v>
      </c>
      <c r="D437" t="s">
        <v>25</v>
      </c>
      <c r="E437" t="s">
        <v>14</v>
      </c>
      <c r="F437" t="s">
        <v>22</v>
      </c>
      <c r="G437">
        <v>95.68</v>
      </c>
      <c r="H437">
        <v>13</v>
      </c>
      <c r="I437">
        <v>363.61</v>
      </c>
      <c r="J437">
        <v>1</v>
      </c>
      <c r="K437">
        <v>244.51</v>
      </c>
    </row>
    <row r="438" spans="1:11" x14ac:dyDescent="0.3">
      <c r="A438" s="1">
        <v>45277</v>
      </c>
      <c r="B438" t="s">
        <v>21</v>
      </c>
      <c r="C438" t="s">
        <v>18</v>
      </c>
      <c r="D438" t="s">
        <v>28</v>
      </c>
      <c r="E438" t="s">
        <v>20</v>
      </c>
      <c r="F438" t="s">
        <v>15</v>
      </c>
      <c r="G438">
        <v>54.87</v>
      </c>
      <c r="H438">
        <v>1</v>
      </c>
      <c r="I438">
        <v>11.68</v>
      </c>
      <c r="J438">
        <v>0</v>
      </c>
      <c r="K438">
        <v>-43.19</v>
      </c>
    </row>
    <row r="439" spans="1:11" x14ac:dyDescent="0.3">
      <c r="A439" s="1">
        <v>45227</v>
      </c>
      <c r="B439" t="s">
        <v>23</v>
      </c>
      <c r="C439" t="s">
        <v>29</v>
      </c>
      <c r="D439" t="s">
        <v>13</v>
      </c>
      <c r="E439" t="s">
        <v>14</v>
      </c>
      <c r="F439" t="s">
        <v>15</v>
      </c>
      <c r="G439">
        <v>125.16</v>
      </c>
      <c r="H439">
        <v>18</v>
      </c>
      <c r="I439">
        <v>300.75</v>
      </c>
      <c r="J439">
        <v>0</v>
      </c>
      <c r="K439">
        <v>175.59</v>
      </c>
    </row>
    <row r="440" spans="1:11" x14ac:dyDescent="0.3">
      <c r="A440" s="1">
        <v>45142</v>
      </c>
      <c r="B440" t="s">
        <v>17</v>
      </c>
      <c r="C440" t="s">
        <v>29</v>
      </c>
      <c r="D440" t="s">
        <v>27</v>
      </c>
      <c r="E440" t="s">
        <v>20</v>
      </c>
      <c r="F440" t="s">
        <v>15</v>
      </c>
      <c r="G440">
        <v>141.47999999999999</v>
      </c>
      <c r="H440">
        <v>15</v>
      </c>
      <c r="I440">
        <v>965.68</v>
      </c>
      <c r="J440">
        <v>0</v>
      </c>
      <c r="K440">
        <v>824.2</v>
      </c>
    </row>
    <row r="441" spans="1:11" x14ac:dyDescent="0.3">
      <c r="A441" s="1">
        <v>45161</v>
      </c>
      <c r="B441" t="s">
        <v>17</v>
      </c>
      <c r="C441" t="s">
        <v>29</v>
      </c>
      <c r="D441" t="s">
        <v>19</v>
      </c>
      <c r="E441" t="s">
        <v>20</v>
      </c>
      <c r="F441" t="s">
        <v>22</v>
      </c>
      <c r="G441">
        <v>46.12</v>
      </c>
      <c r="H441">
        <v>18</v>
      </c>
      <c r="I441">
        <v>887.65</v>
      </c>
      <c r="J441">
        <v>0</v>
      </c>
      <c r="K441">
        <v>841.53</v>
      </c>
    </row>
    <row r="442" spans="1:11" x14ac:dyDescent="0.3">
      <c r="A442" s="1">
        <v>44982</v>
      </c>
      <c r="B442" t="s">
        <v>21</v>
      </c>
      <c r="C442" t="s">
        <v>12</v>
      </c>
      <c r="D442" t="s">
        <v>25</v>
      </c>
      <c r="E442" t="s">
        <v>20</v>
      </c>
      <c r="F442" t="s">
        <v>15</v>
      </c>
      <c r="G442">
        <v>79.63</v>
      </c>
      <c r="H442">
        <v>12</v>
      </c>
      <c r="I442">
        <v>335.64</v>
      </c>
      <c r="J442">
        <v>2</v>
      </c>
      <c r="K442">
        <v>158.11000000000001</v>
      </c>
    </row>
    <row r="443" spans="1:11" x14ac:dyDescent="0.3">
      <c r="A443" s="1">
        <v>45142</v>
      </c>
      <c r="B443" t="s">
        <v>17</v>
      </c>
      <c r="C443" t="s">
        <v>12</v>
      </c>
      <c r="D443" t="s">
        <v>13</v>
      </c>
      <c r="E443" t="s">
        <v>14</v>
      </c>
      <c r="F443" t="s">
        <v>22</v>
      </c>
      <c r="G443">
        <v>89.96</v>
      </c>
      <c r="H443">
        <v>10</v>
      </c>
      <c r="I443">
        <v>885.27</v>
      </c>
      <c r="J443">
        <v>2</v>
      </c>
      <c r="K443">
        <v>749.43</v>
      </c>
    </row>
    <row r="444" spans="1:11" x14ac:dyDescent="0.3">
      <c r="A444" s="1">
        <v>44934</v>
      </c>
      <c r="B444" t="s">
        <v>21</v>
      </c>
      <c r="C444" t="s">
        <v>18</v>
      </c>
      <c r="D444" t="s">
        <v>27</v>
      </c>
      <c r="E444" t="s">
        <v>14</v>
      </c>
      <c r="F444" t="s">
        <v>26</v>
      </c>
      <c r="G444">
        <v>46.21</v>
      </c>
      <c r="H444">
        <v>13</v>
      </c>
      <c r="I444">
        <v>708.27</v>
      </c>
      <c r="J444">
        <v>3</v>
      </c>
      <c r="K444">
        <v>580.23</v>
      </c>
    </row>
    <row r="445" spans="1:11" x14ac:dyDescent="0.3">
      <c r="A445" s="1">
        <v>45058</v>
      </c>
      <c r="B445" t="s">
        <v>11</v>
      </c>
      <c r="C445" t="s">
        <v>18</v>
      </c>
      <c r="D445" t="s">
        <v>28</v>
      </c>
      <c r="E445" t="s">
        <v>20</v>
      </c>
      <c r="F445" t="s">
        <v>26</v>
      </c>
      <c r="G445">
        <v>160.85</v>
      </c>
      <c r="H445">
        <v>16</v>
      </c>
      <c r="I445">
        <v>754.37</v>
      </c>
      <c r="J445">
        <v>3</v>
      </c>
      <c r="K445">
        <v>530.74</v>
      </c>
    </row>
    <row r="446" spans="1:11" x14ac:dyDescent="0.3">
      <c r="A446" s="1">
        <v>45037</v>
      </c>
      <c r="B446" t="s">
        <v>11</v>
      </c>
      <c r="C446" t="s">
        <v>12</v>
      </c>
      <c r="D446" t="s">
        <v>28</v>
      </c>
      <c r="E446" t="s">
        <v>20</v>
      </c>
      <c r="F446" t="s">
        <v>16</v>
      </c>
      <c r="G446">
        <v>80.349999999999994</v>
      </c>
      <c r="H446">
        <v>18</v>
      </c>
      <c r="I446">
        <v>1107.44</v>
      </c>
      <c r="J446">
        <v>0</v>
      </c>
      <c r="K446">
        <v>1027.0899999999999</v>
      </c>
    </row>
    <row r="447" spans="1:11" x14ac:dyDescent="0.3">
      <c r="A447" s="1">
        <v>45168</v>
      </c>
      <c r="B447" t="s">
        <v>17</v>
      </c>
      <c r="C447" t="s">
        <v>24</v>
      </c>
      <c r="D447" t="s">
        <v>13</v>
      </c>
      <c r="E447" t="s">
        <v>20</v>
      </c>
      <c r="F447" t="s">
        <v>26</v>
      </c>
      <c r="G447">
        <v>50.82</v>
      </c>
      <c r="H447">
        <v>19</v>
      </c>
      <c r="I447">
        <v>1220.0899999999999</v>
      </c>
      <c r="J447">
        <v>3</v>
      </c>
      <c r="K447">
        <v>1024.32</v>
      </c>
    </row>
    <row r="448" spans="1:11" x14ac:dyDescent="0.3">
      <c r="A448" s="1">
        <v>45002</v>
      </c>
      <c r="B448" t="s">
        <v>11</v>
      </c>
      <c r="C448" t="s">
        <v>12</v>
      </c>
      <c r="D448" t="s">
        <v>13</v>
      </c>
      <c r="E448" t="s">
        <v>20</v>
      </c>
      <c r="F448" t="s">
        <v>26</v>
      </c>
      <c r="G448">
        <v>155.05000000000001</v>
      </c>
      <c r="H448">
        <v>5</v>
      </c>
      <c r="I448">
        <v>238.44</v>
      </c>
      <c r="J448">
        <v>0</v>
      </c>
      <c r="K448">
        <v>83.39</v>
      </c>
    </row>
    <row r="449" spans="1:11" x14ac:dyDescent="0.3">
      <c r="A449" s="1">
        <v>45192</v>
      </c>
      <c r="B449" t="s">
        <v>23</v>
      </c>
      <c r="C449" t="s">
        <v>18</v>
      </c>
      <c r="D449" t="s">
        <v>28</v>
      </c>
      <c r="E449" t="s">
        <v>20</v>
      </c>
      <c r="F449" t="s">
        <v>22</v>
      </c>
      <c r="G449">
        <v>65.16</v>
      </c>
      <c r="H449">
        <v>1</v>
      </c>
      <c r="I449">
        <v>58.75</v>
      </c>
      <c r="J449">
        <v>1</v>
      </c>
      <c r="K449">
        <v>-34.520000000000003</v>
      </c>
    </row>
    <row r="450" spans="1:11" x14ac:dyDescent="0.3">
      <c r="A450" s="1">
        <v>45181</v>
      </c>
      <c r="B450" t="s">
        <v>23</v>
      </c>
      <c r="C450" t="s">
        <v>24</v>
      </c>
      <c r="D450" t="s">
        <v>28</v>
      </c>
      <c r="E450" t="s">
        <v>14</v>
      </c>
      <c r="F450" t="s">
        <v>22</v>
      </c>
      <c r="G450">
        <v>98.55</v>
      </c>
      <c r="H450">
        <v>4</v>
      </c>
      <c r="I450">
        <v>65.84</v>
      </c>
      <c r="J450">
        <v>0</v>
      </c>
      <c r="K450">
        <v>-32.71</v>
      </c>
    </row>
    <row r="451" spans="1:11" x14ac:dyDescent="0.3">
      <c r="A451" s="1">
        <v>45026</v>
      </c>
      <c r="B451" t="s">
        <v>11</v>
      </c>
      <c r="C451" t="s">
        <v>18</v>
      </c>
      <c r="D451" t="s">
        <v>25</v>
      </c>
      <c r="E451" t="s">
        <v>20</v>
      </c>
      <c r="F451" t="s">
        <v>26</v>
      </c>
      <c r="G451">
        <v>40.01</v>
      </c>
      <c r="H451">
        <v>3</v>
      </c>
      <c r="I451">
        <v>239.82</v>
      </c>
      <c r="J451">
        <v>1</v>
      </c>
      <c r="K451">
        <v>184.14</v>
      </c>
    </row>
    <row r="452" spans="1:11" x14ac:dyDescent="0.3">
      <c r="A452" s="1">
        <v>45208</v>
      </c>
      <c r="B452" t="s">
        <v>23</v>
      </c>
      <c r="C452" t="s">
        <v>12</v>
      </c>
      <c r="D452" t="s">
        <v>28</v>
      </c>
      <c r="E452" t="s">
        <v>20</v>
      </c>
      <c r="F452" t="s">
        <v>26</v>
      </c>
      <c r="G452">
        <v>50.79</v>
      </c>
      <c r="H452">
        <v>18</v>
      </c>
      <c r="I452">
        <v>1308.4100000000001</v>
      </c>
      <c r="J452">
        <v>2</v>
      </c>
      <c r="K452">
        <v>1243.19</v>
      </c>
    </row>
    <row r="453" spans="1:11" x14ac:dyDescent="0.3">
      <c r="A453" s="1">
        <v>45079</v>
      </c>
      <c r="B453" t="s">
        <v>17</v>
      </c>
      <c r="C453" t="s">
        <v>18</v>
      </c>
      <c r="D453" t="s">
        <v>13</v>
      </c>
      <c r="E453" t="s">
        <v>14</v>
      </c>
      <c r="F453" t="s">
        <v>15</v>
      </c>
      <c r="G453">
        <v>115.96</v>
      </c>
      <c r="H453">
        <v>3</v>
      </c>
      <c r="I453">
        <v>41.98</v>
      </c>
      <c r="J453">
        <v>1</v>
      </c>
      <c r="K453">
        <v>-105.18</v>
      </c>
    </row>
    <row r="454" spans="1:11" x14ac:dyDescent="0.3">
      <c r="A454" s="1">
        <v>45192</v>
      </c>
      <c r="B454" t="s">
        <v>23</v>
      </c>
      <c r="C454" t="s">
        <v>12</v>
      </c>
      <c r="D454" t="s">
        <v>28</v>
      </c>
      <c r="E454" t="s">
        <v>20</v>
      </c>
      <c r="F454" t="s">
        <v>22</v>
      </c>
      <c r="G454">
        <v>10.53</v>
      </c>
      <c r="H454">
        <v>11</v>
      </c>
      <c r="I454">
        <v>346.48</v>
      </c>
      <c r="J454">
        <v>0</v>
      </c>
      <c r="K454">
        <v>335.95</v>
      </c>
    </row>
    <row r="455" spans="1:11" x14ac:dyDescent="0.3">
      <c r="A455" s="1">
        <v>45183</v>
      </c>
      <c r="B455" t="s">
        <v>23</v>
      </c>
      <c r="C455" t="s">
        <v>12</v>
      </c>
      <c r="D455" t="s">
        <v>13</v>
      </c>
      <c r="E455" t="s">
        <v>20</v>
      </c>
      <c r="F455" t="s">
        <v>16</v>
      </c>
      <c r="G455">
        <v>193.95</v>
      </c>
      <c r="H455">
        <v>5</v>
      </c>
      <c r="I455">
        <v>270.94</v>
      </c>
      <c r="J455">
        <v>2</v>
      </c>
      <c r="K455">
        <v>47.08</v>
      </c>
    </row>
    <row r="456" spans="1:11" x14ac:dyDescent="0.3">
      <c r="A456" s="1">
        <v>45015</v>
      </c>
      <c r="B456" t="s">
        <v>11</v>
      </c>
      <c r="C456" t="s">
        <v>24</v>
      </c>
      <c r="D456" t="s">
        <v>19</v>
      </c>
      <c r="E456" t="s">
        <v>14</v>
      </c>
      <c r="F456" t="s">
        <v>22</v>
      </c>
      <c r="G456">
        <v>127.09</v>
      </c>
      <c r="H456">
        <v>19</v>
      </c>
      <c r="I456">
        <v>528.29999999999995</v>
      </c>
      <c r="J456">
        <v>2</v>
      </c>
      <c r="K456">
        <v>313.33</v>
      </c>
    </row>
    <row r="457" spans="1:11" x14ac:dyDescent="0.3">
      <c r="A457" s="1">
        <v>45107</v>
      </c>
      <c r="B457" t="s">
        <v>17</v>
      </c>
      <c r="C457" t="s">
        <v>18</v>
      </c>
      <c r="D457" t="s">
        <v>19</v>
      </c>
      <c r="E457" t="s">
        <v>20</v>
      </c>
      <c r="F457" t="s">
        <v>16</v>
      </c>
      <c r="G457">
        <v>76.2</v>
      </c>
      <c r="H457">
        <v>10</v>
      </c>
      <c r="I457">
        <v>215.34</v>
      </c>
      <c r="J457">
        <v>0</v>
      </c>
      <c r="K457">
        <v>139.13999999999999</v>
      </c>
    </row>
    <row r="458" spans="1:11" x14ac:dyDescent="0.3">
      <c r="A458" s="1">
        <v>44984</v>
      </c>
      <c r="B458" t="s">
        <v>21</v>
      </c>
      <c r="C458" t="s">
        <v>29</v>
      </c>
      <c r="D458" t="s">
        <v>25</v>
      </c>
      <c r="E458" t="s">
        <v>20</v>
      </c>
      <c r="F458" t="s">
        <v>26</v>
      </c>
      <c r="G458">
        <v>190.02</v>
      </c>
      <c r="H458">
        <v>13</v>
      </c>
      <c r="I458">
        <v>624.78</v>
      </c>
      <c r="J458">
        <v>1</v>
      </c>
      <c r="K458">
        <v>407.35</v>
      </c>
    </row>
    <row r="459" spans="1:11" x14ac:dyDescent="0.3">
      <c r="A459" s="1">
        <v>45265</v>
      </c>
      <c r="B459" t="s">
        <v>21</v>
      </c>
      <c r="C459" t="s">
        <v>18</v>
      </c>
      <c r="D459" t="s">
        <v>25</v>
      </c>
      <c r="E459" t="s">
        <v>20</v>
      </c>
      <c r="F459" t="s">
        <v>22</v>
      </c>
      <c r="G459">
        <v>32.04</v>
      </c>
      <c r="H459">
        <v>12</v>
      </c>
      <c r="I459">
        <v>495.05</v>
      </c>
      <c r="J459">
        <v>0</v>
      </c>
      <c r="K459">
        <v>463.01</v>
      </c>
    </row>
    <row r="460" spans="1:11" x14ac:dyDescent="0.3">
      <c r="A460" s="1">
        <v>44975</v>
      </c>
      <c r="B460" t="s">
        <v>21</v>
      </c>
      <c r="C460" t="s">
        <v>24</v>
      </c>
      <c r="D460" t="s">
        <v>27</v>
      </c>
      <c r="E460" t="s">
        <v>14</v>
      </c>
      <c r="F460" t="s">
        <v>15</v>
      </c>
      <c r="G460">
        <v>28.79</v>
      </c>
      <c r="H460">
        <v>15</v>
      </c>
      <c r="I460">
        <v>520.58000000000004</v>
      </c>
      <c r="J460">
        <v>1</v>
      </c>
      <c r="K460">
        <v>481.68</v>
      </c>
    </row>
    <row r="461" spans="1:11" x14ac:dyDescent="0.3">
      <c r="A461" s="1">
        <v>45198</v>
      </c>
      <c r="B461" t="s">
        <v>23</v>
      </c>
      <c r="C461" t="s">
        <v>29</v>
      </c>
      <c r="D461" t="s">
        <v>13</v>
      </c>
      <c r="E461" t="s">
        <v>20</v>
      </c>
      <c r="F461" t="s">
        <v>22</v>
      </c>
      <c r="G461">
        <v>6.26</v>
      </c>
      <c r="H461">
        <v>7</v>
      </c>
      <c r="I461">
        <v>114.21</v>
      </c>
      <c r="J461">
        <v>2</v>
      </c>
      <c r="K461">
        <v>16.62</v>
      </c>
    </row>
    <row r="462" spans="1:11" x14ac:dyDescent="0.3">
      <c r="A462" s="1">
        <v>45132</v>
      </c>
      <c r="B462" t="s">
        <v>17</v>
      </c>
      <c r="C462" t="s">
        <v>24</v>
      </c>
      <c r="D462" t="s">
        <v>25</v>
      </c>
      <c r="E462" t="s">
        <v>20</v>
      </c>
      <c r="F462" t="s">
        <v>16</v>
      </c>
      <c r="G462">
        <v>150.32</v>
      </c>
      <c r="H462">
        <v>7</v>
      </c>
      <c r="I462">
        <v>274.88</v>
      </c>
      <c r="J462">
        <v>0</v>
      </c>
      <c r="K462">
        <v>124.56</v>
      </c>
    </row>
    <row r="463" spans="1:11" x14ac:dyDescent="0.3">
      <c r="A463" s="1">
        <v>45082</v>
      </c>
      <c r="B463" t="s">
        <v>17</v>
      </c>
      <c r="C463" t="s">
        <v>12</v>
      </c>
      <c r="D463" t="s">
        <v>27</v>
      </c>
      <c r="E463" t="s">
        <v>20</v>
      </c>
      <c r="F463" t="s">
        <v>16</v>
      </c>
      <c r="G463">
        <v>167.57</v>
      </c>
      <c r="H463">
        <v>14</v>
      </c>
      <c r="I463">
        <v>1393.01</v>
      </c>
      <c r="J463">
        <v>1</v>
      </c>
      <c r="K463">
        <v>1210.01</v>
      </c>
    </row>
    <row r="464" spans="1:11" x14ac:dyDescent="0.3">
      <c r="A464" s="1">
        <v>45104</v>
      </c>
      <c r="B464" t="s">
        <v>17</v>
      </c>
      <c r="C464" t="s">
        <v>24</v>
      </c>
      <c r="D464" t="s">
        <v>25</v>
      </c>
      <c r="E464" t="s">
        <v>14</v>
      </c>
      <c r="F464" t="s">
        <v>26</v>
      </c>
      <c r="G464">
        <v>151.72</v>
      </c>
      <c r="H464">
        <v>7</v>
      </c>
      <c r="I464">
        <v>109.64</v>
      </c>
      <c r="J464">
        <v>2</v>
      </c>
      <c r="K464">
        <v>-81.819999999999993</v>
      </c>
    </row>
    <row r="465" spans="1:11" x14ac:dyDescent="0.3">
      <c r="A465" s="1">
        <v>45286</v>
      </c>
      <c r="B465" t="s">
        <v>21</v>
      </c>
      <c r="C465" t="s">
        <v>18</v>
      </c>
      <c r="D465" t="s">
        <v>25</v>
      </c>
      <c r="E465" t="s">
        <v>20</v>
      </c>
      <c r="F465" t="s">
        <v>16</v>
      </c>
      <c r="G465">
        <v>196.91</v>
      </c>
      <c r="H465">
        <v>13</v>
      </c>
      <c r="I465">
        <v>675.7</v>
      </c>
      <c r="J465">
        <v>0</v>
      </c>
      <c r="K465">
        <v>478.79</v>
      </c>
    </row>
    <row r="466" spans="1:11" x14ac:dyDescent="0.3">
      <c r="A466" s="1">
        <v>45280</v>
      </c>
      <c r="B466" t="s">
        <v>21</v>
      </c>
      <c r="C466" t="s">
        <v>24</v>
      </c>
      <c r="D466" t="s">
        <v>19</v>
      </c>
      <c r="E466" t="s">
        <v>14</v>
      </c>
      <c r="F466" t="s">
        <v>15</v>
      </c>
      <c r="G466">
        <v>71.63</v>
      </c>
      <c r="H466">
        <v>1</v>
      </c>
      <c r="I466">
        <v>14.37</v>
      </c>
      <c r="J466">
        <v>1</v>
      </c>
      <c r="K466">
        <v>-97.54</v>
      </c>
    </row>
    <row r="467" spans="1:11" x14ac:dyDescent="0.3">
      <c r="A467" s="1">
        <v>45025</v>
      </c>
      <c r="B467" t="s">
        <v>11</v>
      </c>
      <c r="C467" t="s">
        <v>24</v>
      </c>
      <c r="D467" t="s">
        <v>28</v>
      </c>
      <c r="E467" t="s">
        <v>14</v>
      </c>
      <c r="F467" t="s">
        <v>15</v>
      </c>
      <c r="G467">
        <v>139.57</v>
      </c>
      <c r="H467">
        <v>5</v>
      </c>
      <c r="I467">
        <v>53.15</v>
      </c>
      <c r="J467">
        <v>0</v>
      </c>
      <c r="K467">
        <v>-86.42</v>
      </c>
    </row>
    <row r="468" spans="1:11" x14ac:dyDescent="0.3">
      <c r="A468" s="1">
        <v>45182</v>
      </c>
      <c r="B468" t="s">
        <v>23</v>
      </c>
      <c r="C468" t="s">
        <v>12</v>
      </c>
      <c r="D468" t="s">
        <v>25</v>
      </c>
      <c r="E468" t="s">
        <v>20</v>
      </c>
      <c r="F468" t="s">
        <v>16</v>
      </c>
      <c r="G468">
        <v>26.25</v>
      </c>
      <c r="H468">
        <v>12</v>
      </c>
      <c r="I468">
        <v>670.74</v>
      </c>
      <c r="J468">
        <v>3</v>
      </c>
      <c r="K468">
        <v>595.24</v>
      </c>
    </row>
    <row r="469" spans="1:11" x14ac:dyDescent="0.3">
      <c r="A469" s="1">
        <v>44938</v>
      </c>
      <c r="B469" t="s">
        <v>21</v>
      </c>
      <c r="C469" t="s">
        <v>12</v>
      </c>
      <c r="D469" t="s">
        <v>13</v>
      </c>
      <c r="E469" t="s">
        <v>14</v>
      </c>
      <c r="F469" t="s">
        <v>26</v>
      </c>
      <c r="G469">
        <v>89.07</v>
      </c>
      <c r="H469">
        <v>2</v>
      </c>
      <c r="I469">
        <v>122.37</v>
      </c>
      <c r="J469">
        <v>2</v>
      </c>
      <c r="K469">
        <v>-0.56000000000000005</v>
      </c>
    </row>
    <row r="470" spans="1:11" x14ac:dyDescent="0.3">
      <c r="A470" s="1">
        <v>45084</v>
      </c>
      <c r="B470" t="s">
        <v>17</v>
      </c>
      <c r="C470" t="s">
        <v>24</v>
      </c>
      <c r="D470" t="s">
        <v>13</v>
      </c>
      <c r="E470" t="s">
        <v>20</v>
      </c>
      <c r="F470" t="s">
        <v>15</v>
      </c>
      <c r="G470">
        <v>86.01</v>
      </c>
      <c r="H470">
        <v>17</v>
      </c>
      <c r="I470">
        <v>311.7</v>
      </c>
      <c r="J470">
        <v>3</v>
      </c>
      <c r="K470">
        <v>165.25</v>
      </c>
    </row>
    <row r="471" spans="1:11" x14ac:dyDescent="0.3">
      <c r="A471" s="1">
        <v>45031</v>
      </c>
      <c r="B471" t="s">
        <v>11</v>
      </c>
      <c r="C471" t="s">
        <v>24</v>
      </c>
      <c r="D471" t="s">
        <v>28</v>
      </c>
      <c r="E471" t="s">
        <v>20</v>
      </c>
      <c r="F471" t="s">
        <v>15</v>
      </c>
      <c r="G471">
        <v>176.76</v>
      </c>
      <c r="H471">
        <v>1</v>
      </c>
      <c r="I471">
        <v>83.04</v>
      </c>
      <c r="J471">
        <v>1</v>
      </c>
      <c r="K471">
        <v>-137.47</v>
      </c>
    </row>
    <row r="472" spans="1:11" x14ac:dyDescent="0.3">
      <c r="A472" s="1">
        <v>45153</v>
      </c>
      <c r="B472" t="s">
        <v>17</v>
      </c>
      <c r="C472" t="s">
        <v>18</v>
      </c>
      <c r="D472" t="s">
        <v>19</v>
      </c>
      <c r="E472" t="s">
        <v>20</v>
      </c>
      <c r="F472" t="s">
        <v>16</v>
      </c>
      <c r="G472">
        <v>190.03</v>
      </c>
      <c r="H472">
        <v>17</v>
      </c>
      <c r="I472">
        <v>1494.46</v>
      </c>
      <c r="J472">
        <v>2</v>
      </c>
      <c r="K472">
        <v>1257.8</v>
      </c>
    </row>
    <row r="473" spans="1:11" x14ac:dyDescent="0.3">
      <c r="A473" s="1">
        <v>45285</v>
      </c>
      <c r="B473" t="s">
        <v>21</v>
      </c>
      <c r="C473" t="s">
        <v>24</v>
      </c>
      <c r="D473" t="s">
        <v>13</v>
      </c>
      <c r="E473" t="s">
        <v>20</v>
      </c>
      <c r="F473" t="s">
        <v>16</v>
      </c>
      <c r="G473">
        <v>29.15</v>
      </c>
      <c r="H473">
        <v>2</v>
      </c>
      <c r="I473">
        <v>78.86</v>
      </c>
      <c r="J473">
        <v>2</v>
      </c>
      <c r="K473">
        <v>-7.1</v>
      </c>
    </row>
    <row r="474" spans="1:11" x14ac:dyDescent="0.3">
      <c r="A474" s="1">
        <v>45203</v>
      </c>
      <c r="B474" t="s">
        <v>23</v>
      </c>
      <c r="C474" t="s">
        <v>29</v>
      </c>
      <c r="D474" t="s">
        <v>27</v>
      </c>
      <c r="E474" t="s">
        <v>14</v>
      </c>
      <c r="F474" t="s">
        <v>16</v>
      </c>
      <c r="G474">
        <v>86.86</v>
      </c>
      <c r="H474">
        <v>19</v>
      </c>
      <c r="I474">
        <v>676.67</v>
      </c>
      <c r="J474">
        <v>3</v>
      </c>
      <c r="K474">
        <v>496.72</v>
      </c>
    </row>
    <row r="475" spans="1:11" x14ac:dyDescent="0.3">
      <c r="A475" s="1">
        <v>45186</v>
      </c>
      <c r="B475" t="s">
        <v>23</v>
      </c>
      <c r="C475" t="s">
        <v>18</v>
      </c>
      <c r="D475" t="s">
        <v>28</v>
      </c>
      <c r="E475" t="s">
        <v>14</v>
      </c>
      <c r="F475" t="s">
        <v>15</v>
      </c>
      <c r="G475">
        <v>154.4</v>
      </c>
      <c r="H475">
        <v>18</v>
      </c>
      <c r="I475">
        <v>237.35</v>
      </c>
      <c r="J475">
        <v>2</v>
      </c>
      <c r="K475">
        <v>-2.34</v>
      </c>
    </row>
    <row r="476" spans="1:11" x14ac:dyDescent="0.3">
      <c r="A476" s="1">
        <v>45097</v>
      </c>
      <c r="B476" t="s">
        <v>17</v>
      </c>
      <c r="C476" t="s">
        <v>29</v>
      </c>
      <c r="D476" t="s">
        <v>19</v>
      </c>
      <c r="E476" t="s">
        <v>20</v>
      </c>
      <c r="F476" t="s">
        <v>16</v>
      </c>
      <c r="G476">
        <v>144.6</v>
      </c>
      <c r="H476">
        <v>20</v>
      </c>
      <c r="I476">
        <v>1702.18</v>
      </c>
      <c r="J476">
        <v>0</v>
      </c>
      <c r="K476">
        <v>1557.58</v>
      </c>
    </row>
    <row r="477" spans="1:11" x14ac:dyDescent="0.3">
      <c r="A477" s="1">
        <v>45123</v>
      </c>
      <c r="B477" t="s">
        <v>17</v>
      </c>
      <c r="C477" t="s">
        <v>18</v>
      </c>
      <c r="D477" t="s">
        <v>19</v>
      </c>
      <c r="E477" t="s">
        <v>20</v>
      </c>
      <c r="F477" t="s">
        <v>16</v>
      </c>
      <c r="G477">
        <v>57.76</v>
      </c>
      <c r="H477">
        <v>7</v>
      </c>
      <c r="I477">
        <v>535.26</v>
      </c>
      <c r="J477">
        <v>1</v>
      </c>
      <c r="K477">
        <v>452.06</v>
      </c>
    </row>
    <row r="478" spans="1:11" x14ac:dyDescent="0.3">
      <c r="A478" s="1">
        <v>45272</v>
      </c>
      <c r="B478" t="s">
        <v>21</v>
      </c>
      <c r="C478" t="s">
        <v>18</v>
      </c>
      <c r="D478" t="s">
        <v>13</v>
      </c>
      <c r="E478" t="s">
        <v>14</v>
      </c>
      <c r="F478" t="s">
        <v>15</v>
      </c>
      <c r="G478">
        <v>9.86</v>
      </c>
      <c r="H478">
        <v>10</v>
      </c>
      <c r="I478">
        <v>576.78</v>
      </c>
      <c r="J478">
        <v>2</v>
      </c>
      <c r="K478">
        <v>478.36</v>
      </c>
    </row>
    <row r="479" spans="1:11" x14ac:dyDescent="0.3">
      <c r="A479" s="1">
        <v>44952</v>
      </c>
      <c r="B479" t="s">
        <v>21</v>
      </c>
      <c r="C479" t="s">
        <v>29</v>
      </c>
      <c r="D479" t="s">
        <v>19</v>
      </c>
      <c r="E479" t="s">
        <v>14</v>
      </c>
      <c r="F479" t="s">
        <v>16</v>
      </c>
      <c r="G479">
        <v>189.24</v>
      </c>
      <c r="H479">
        <v>8</v>
      </c>
      <c r="I479">
        <v>525.88</v>
      </c>
      <c r="J479">
        <v>2</v>
      </c>
      <c r="K479">
        <v>268.02</v>
      </c>
    </row>
    <row r="480" spans="1:11" x14ac:dyDescent="0.3">
      <c r="A480" s="1">
        <v>45233</v>
      </c>
      <c r="B480" t="s">
        <v>23</v>
      </c>
      <c r="C480" t="s">
        <v>12</v>
      </c>
      <c r="D480" t="s">
        <v>19</v>
      </c>
      <c r="E480" t="s">
        <v>20</v>
      </c>
      <c r="F480" t="s">
        <v>26</v>
      </c>
      <c r="G480">
        <v>144.06</v>
      </c>
      <c r="H480">
        <v>20</v>
      </c>
      <c r="I480">
        <v>1600.54</v>
      </c>
      <c r="J480">
        <v>1</v>
      </c>
      <c r="K480">
        <v>1418.35</v>
      </c>
    </row>
    <row r="481" spans="1:11" x14ac:dyDescent="0.3">
      <c r="A481" s="1">
        <v>45122</v>
      </c>
      <c r="B481" t="s">
        <v>17</v>
      </c>
      <c r="C481" t="s">
        <v>24</v>
      </c>
      <c r="D481" t="s">
        <v>28</v>
      </c>
      <c r="E481" t="s">
        <v>20</v>
      </c>
      <c r="F481" t="s">
        <v>26</v>
      </c>
      <c r="G481">
        <v>7.79</v>
      </c>
      <c r="H481">
        <v>2</v>
      </c>
      <c r="I481">
        <v>29.98</v>
      </c>
      <c r="J481">
        <v>2</v>
      </c>
      <c r="K481">
        <v>-27.7</v>
      </c>
    </row>
    <row r="482" spans="1:11" x14ac:dyDescent="0.3">
      <c r="A482" s="1">
        <v>44960</v>
      </c>
      <c r="B482" t="s">
        <v>21</v>
      </c>
      <c r="C482" t="s">
        <v>18</v>
      </c>
      <c r="D482" t="s">
        <v>13</v>
      </c>
      <c r="E482" t="s">
        <v>14</v>
      </c>
      <c r="F482" t="s">
        <v>22</v>
      </c>
      <c r="G482">
        <v>64.83</v>
      </c>
      <c r="H482">
        <v>14</v>
      </c>
      <c r="I482">
        <v>751.16</v>
      </c>
      <c r="J482">
        <v>2</v>
      </c>
      <c r="K482">
        <v>604.84</v>
      </c>
    </row>
    <row r="483" spans="1:11" x14ac:dyDescent="0.3">
      <c r="A483" s="1">
        <v>45204</v>
      </c>
      <c r="B483" t="s">
        <v>23</v>
      </c>
      <c r="C483" t="s">
        <v>12</v>
      </c>
      <c r="D483" t="s">
        <v>19</v>
      </c>
      <c r="E483" t="s">
        <v>14</v>
      </c>
      <c r="F483" t="s">
        <v>22</v>
      </c>
      <c r="G483">
        <v>103.4</v>
      </c>
      <c r="H483">
        <v>16</v>
      </c>
      <c r="I483">
        <v>1010.29</v>
      </c>
      <c r="J483">
        <v>1</v>
      </c>
      <c r="K483">
        <v>893</v>
      </c>
    </row>
    <row r="484" spans="1:11" x14ac:dyDescent="0.3">
      <c r="A484" s="1">
        <v>45261</v>
      </c>
      <c r="B484" t="s">
        <v>21</v>
      </c>
      <c r="C484" t="s">
        <v>12</v>
      </c>
      <c r="D484" t="s">
        <v>28</v>
      </c>
      <c r="E484" t="s">
        <v>20</v>
      </c>
      <c r="F484" t="s">
        <v>22</v>
      </c>
      <c r="G484">
        <v>131.72999999999999</v>
      </c>
      <c r="H484">
        <v>17</v>
      </c>
      <c r="I484">
        <v>1620.88</v>
      </c>
      <c r="J484">
        <v>2</v>
      </c>
      <c r="K484">
        <v>1474.58</v>
      </c>
    </row>
    <row r="485" spans="1:11" x14ac:dyDescent="0.3">
      <c r="A485" s="1">
        <v>45001</v>
      </c>
      <c r="B485" t="s">
        <v>11</v>
      </c>
      <c r="C485" t="s">
        <v>18</v>
      </c>
      <c r="D485" t="s">
        <v>13</v>
      </c>
      <c r="E485" t="s">
        <v>14</v>
      </c>
      <c r="F485" t="s">
        <v>15</v>
      </c>
      <c r="G485">
        <v>137.22999999999999</v>
      </c>
      <c r="H485">
        <v>12</v>
      </c>
      <c r="I485">
        <v>682.19</v>
      </c>
      <c r="J485">
        <v>3</v>
      </c>
      <c r="K485">
        <v>509.86</v>
      </c>
    </row>
    <row r="486" spans="1:11" x14ac:dyDescent="0.3">
      <c r="A486" s="1">
        <v>45220</v>
      </c>
      <c r="B486" t="s">
        <v>23</v>
      </c>
      <c r="C486" t="s">
        <v>18</v>
      </c>
      <c r="D486" t="s">
        <v>28</v>
      </c>
      <c r="E486" t="s">
        <v>20</v>
      </c>
      <c r="F486" t="s">
        <v>15</v>
      </c>
      <c r="G486">
        <v>112.07</v>
      </c>
      <c r="H486">
        <v>10</v>
      </c>
      <c r="I486">
        <v>951.91</v>
      </c>
      <c r="J486">
        <v>0</v>
      </c>
      <c r="K486">
        <v>839.84</v>
      </c>
    </row>
    <row r="487" spans="1:11" x14ac:dyDescent="0.3">
      <c r="A487" s="1">
        <v>44984</v>
      </c>
      <c r="B487" t="s">
        <v>21</v>
      </c>
      <c r="C487" t="s">
        <v>24</v>
      </c>
      <c r="D487" t="s">
        <v>13</v>
      </c>
      <c r="E487" t="s">
        <v>20</v>
      </c>
      <c r="F487" t="s">
        <v>15</v>
      </c>
      <c r="G487">
        <v>133.32</v>
      </c>
      <c r="H487">
        <v>14</v>
      </c>
      <c r="I487">
        <v>1162.02</v>
      </c>
      <c r="J487">
        <v>3</v>
      </c>
      <c r="K487">
        <v>937.51</v>
      </c>
    </row>
    <row r="488" spans="1:11" x14ac:dyDescent="0.3">
      <c r="A488" s="1">
        <v>45017</v>
      </c>
      <c r="B488" t="s">
        <v>11</v>
      </c>
      <c r="C488" t="s">
        <v>18</v>
      </c>
      <c r="D488" t="s">
        <v>19</v>
      </c>
      <c r="E488" t="s">
        <v>14</v>
      </c>
      <c r="F488" t="s">
        <v>16</v>
      </c>
      <c r="G488">
        <v>183.29</v>
      </c>
      <c r="H488">
        <v>1</v>
      </c>
      <c r="I488">
        <v>62.59</v>
      </c>
      <c r="J488">
        <v>0</v>
      </c>
      <c r="K488">
        <v>-120.7</v>
      </c>
    </row>
    <row r="489" spans="1:11" x14ac:dyDescent="0.3">
      <c r="A489" s="1">
        <v>45192</v>
      </c>
      <c r="B489" t="s">
        <v>23</v>
      </c>
      <c r="C489" t="s">
        <v>29</v>
      </c>
      <c r="D489" t="s">
        <v>19</v>
      </c>
      <c r="E489" t="s">
        <v>20</v>
      </c>
      <c r="F489" t="s">
        <v>22</v>
      </c>
      <c r="G489">
        <v>144.61000000000001</v>
      </c>
      <c r="H489">
        <v>9</v>
      </c>
      <c r="I489">
        <v>144.54</v>
      </c>
      <c r="J489">
        <v>3</v>
      </c>
      <c r="K489">
        <v>-90.38</v>
      </c>
    </row>
    <row r="490" spans="1:11" x14ac:dyDescent="0.3">
      <c r="A490" s="1">
        <v>44941</v>
      </c>
      <c r="B490" t="s">
        <v>21</v>
      </c>
      <c r="C490" t="s">
        <v>29</v>
      </c>
      <c r="D490" t="s">
        <v>13</v>
      </c>
      <c r="E490" t="s">
        <v>14</v>
      </c>
      <c r="F490" t="s">
        <v>26</v>
      </c>
      <c r="G490">
        <v>196.02</v>
      </c>
      <c r="H490">
        <v>9</v>
      </c>
      <c r="I490">
        <v>156.33000000000001</v>
      </c>
      <c r="J490">
        <v>3</v>
      </c>
      <c r="K490">
        <v>-85.68</v>
      </c>
    </row>
    <row r="491" spans="1:11" x14ac:dyDescent="0.3">
      <c r="A491" s="1">
        <v>44980</v>
      </c>
      <c r="B491" t="s">
        <v>21</v>
      </c>
      <c r="C491" t="s">
        <v>18</v>
      </c>
      <c r="D491" t="s">
        <v>13</v>
      </c>
      <c r="E491" t="s">
        <v>14</v>
      </c>
      <c r="F491" t="s">
        <v>16</v>
      </c>
      <c r="G491">
        <v>89.61</v>
      </c>
      <c r="H491">
        <v>11</v>
      </c>
      <c r="I491">
        <v>851.45</v>
      </c>
      <c r="J491">
        <v>0</v>
      </c>
      <c r="K491">
        <v>761.84</v>
      </c>
    </row>
    <row r="492" spans="1:11" x14ac:dyDescent="0.3">
      <c r="A492" s="1">
        <v>44937</v>
      </c>
      <c r="B492" t="s">
        <v>21</v>
      </c>
      <c r="C492" t="s">
        <v>29</v>
      </c>
      <c r="D492" t="s">
        <v>13</v>
      </c>
      <c r="E492" t="s">
        <v>14</v>
      </c>
      <c r="F492" t="s">
        <v>15</v>
      </c>
      <c r="G492">
        <v>31.2</v>
      </c>
      <c r="H492">
        <v>13</v>
      </c>
      <c r="I492">
        <v>838.57</v>
      </c>
      <c r="J492">
        <v>2</v>
      </c>
      <c r="K492">
        <v>784.77</v>
      </c>
    </row>
    <row r="493" spans="1:11" x14ac:dyDescent="0.3">
      <c r="A493" s="1">
        <v>45051</v>
      </c>
      <c r="B493" t="s">
        <v>11</v>
      </c>
      <c r="C493" t="s">
        <v>29</v>
      </c>
      <c r="D493" t="s">
        <v>28</v>
      </c>
      <c r="E493" t="s">
        <v>20</v>
      </c>
      <c r="F493" t="s">
        <v>22</v>
      </c>
      <c r="G493">
        <v>76.23</v>
      </c>
      <c r="H493">
        <v>16</v>
      </c>
      <c r="I493">
        <v>205.94</v>
      </c>
      <c r="J493">
        <v>1</v>
      </c>
      <c r="K493">
        <v>100.23</v>
      </c>
    </row>
    <row r="494" spans="1:11" x14ac:dyDescent="0.3">
      <c r="A494" s="1">
        <v>44927</v>
      </c>
      <c r="B494" t="s">
        <v>21</v>
      </c>
      <c r="C494" t="s">
        <v>18</v>
      </c>
      <c r="D494" t="s">
        <v>28</v>
      </c>
      <c r="E494" t="s">
        <v>20</v>
      </c>
      <c r="F494" t="s">
        <v>15</v>
      </c>
      <c r="G494">
        <v>76.7</v>
      </c>
      <c r="H494">
        <v>18</v>
      </c>
      <c r="I494">
        <v>886.13</v>
      </c>
      <c r="J494">
        <v>1</v>
      </c>
      <c r="K494">
        <v>783.01</v>
      </c>
    </row>
    <row r="495" spans="1:11" x14ac:dyDescent="0.3">
      <c r="A495" s="1">
        <v>45234</v>
      </c>
      <c r="B495" t="s">
        <v>23</v>
      </c>
      <c r="C495" t="s">
        <v>29</v>
      </c>
      <c r="D495" t="s">
        <v>27</v>
      </c>
      <c r="E495" t="s">
        <v>20</v>
      </c>
      <c r="F495" t="s">
        <v>15</v>
      </c>
      <c r="G495">
        <v>126.02</v>
      </c>
      <c r="H495">
        <v>18</v>
      </c>
      <c r="I495">
        <v>1242.46</v>
      </c>
      <c r="J495">
        <v>3</v>
      </c>
      <c r="K495">
        <v>1021.89</v>
      </c>
    </row>
    <row r="496" spans="1:11" x14ac:dyDescent="0.3">
      <c r="A496" s="1">
        <v>45283</v>
      </c>
      <c r="B496" t="s">
        <v>21</v>
      </c>
      <c r="C496" t="s">
        <v>24</v>
      </c>
      <c r="D496" t="s">
        <v>27</v>
      </c>
      <c r="E496" t="s">
        <v>14</v>
      </c>
      <c r="F496" t="s">
        <v>26</v>
      </c>
      <c r="G496">
        <v>126.89</v>
      </c>
      <c r="H496">
        <v>18</v>
      </c>
      <c r="I496">
        <v>1204.98</v>
      </c>
      <c r="J496">
        <v>0</v>
      </c>
      <c r="K496">
        <v>1078.0899999999999</v>
      </c>
    </row>
    <row r="497" spans="1:11" x14ac:dyDescent="0.3">
      <c r="A497" s="1">
        <v>45104</v>
      </c>
      <c r="B497" t="s">
        <v>17</v>
      </c>
      <c r="C497" t="s">
        <v>24</v>
      </c>
      <c r="D497" t="s">
        <v>27</v>
      </c>
      <c r="E497" t="s">
        <v>14</v>
      </c>
      <c r="F497" t="s">
        <v>26</v>
      </c>
      <c r="G497">
        <v>97.76</v>
      </c>
      <c r="H497">
        <v>17</v>
      </c>
      <c r="I497">
        <v>1280.33</v>
      </c>
      <c r="J497">
        <v>2</v>
      </c>
      <c r="K497">
        <v>1165.8800000000001</v>
      </c>
    </row>
    <row r="498" spans="1:11" x14ac:dyDescent="0.3">
      <c r="A498" s="1">
        <v>45139</v>
      </c>
      <c r="B498" t="s">
        <v>17</v>
      </c>
      <c r="C498" t="s">
        <v>29</v>
      </c>
      <c r="D498" t="s">
        <v>19</v>
      </c>
      <c r="E498" t="s">
        <v>14</v>
      </c>
      <c r="F498" t="s">
        <v>22</v>
      </c>
      <c r="G498">
        <v>43.3</v>
      </c>
      <c r="H498">
        <v>14</v>
      </c>
      <c r="I498">
        <v>933.02</v>
      </c>
      <c r="J498">
        <v>3</v>
      </c>
      <c r="K498">
        <v>772.24</v>
      </c>
    </row>
    <row r="499" spans="1:11" x14ac:dyDescent="0.3">
      <c r="A499" s="1">
        <v>45077</v>
      </c>
      <c r="B499" t="s">
        <v>11</v>
      </c>
      <c r="C499" t="s">
        <v>12</v>
      </c>
      <c r="D499" t="s">
        <v>25</v>
      </c>
      <c r="E499" t="s">
        <v>14</v>
      </c>
      <c r="F499" t="s">
        <v>22</v>
      </c>
      <c r="G499">
        <v>21.14</v>
      </c>
      <c r="H499">
        <v>18</v>
      </c>
      <c r="I499">
        <v>1032.76</v>
      </c>
      <c r="J499">
        <v>0</v>
      </c>
      <c r="K499">
        <v>1011.62</v>
      </c>
    </row>
    <row r="500" spans="1:11" x14ac:dyDescent="0.3">
      <c r="A500" s="1">
        <v>45277</v>
      </c>
      <c r="B500" t="s">
        <v>21</v>
      </c>
      <c r="C500" t="s">
        <v>18</v>
      </c>
      <c r="D500" t="s">
        <v>25</v>
      </c>
      <c r="E500" t="s">
        <v>20</v>
      </c>
      <c r="F500" t="s">
        <v>22</v>
      </c>
      <c r="G500">
        <v>145.16</v>
      </c>
      <c r="H500">
        <v>18</v>
      </c>
      <c r="I500">
        <v>1113.52</v>
      </c>
      <c r="J500">
        <v>2</v>
      </c>
      <c r="K500">
        <v>954.08</v>
      </c>
    </row>
    <row r="501" spans="1:11" x14ac:dyDescent="0.3">
      <c r="A501" s="1">
        <v>45030</v>
      </c>
      <c r="B501" t="s">
        <v>11</v>
      </c>
      <c r="C501" t="s">
        <v>24</v>
      </c>
      <c r="D501" t="s">
        <v>27</v>
      </c>
      <c r="E501" t="s">
        <v>14</v>
      </c>
      <c r="F501" t="s">
        <v>16</v>
      </c>
      <c r="G501">
        <v>128.72999999999999</v>
      </c>
      <c r="H501">
        <v>1</v>
      </c>
      <c r="I501">
        <v>44.26</v>
      </c>
      <c r="J501">
        <v>0</v>
      </c>
      <c r="K501">
        <v>-84.47</v>
      </c>
    </row>
    <row r="502" spans="1:11" x14ac:dyDescent="0.3">
      <c r="A502" s="1">
        <v>45046</v>
      </c>
      <c r="B502" t="s">
        <v>11</v>
      </c>
      <c r="C502" t="s">
        <v>24</v>
      </c>
      <c r="D502" t="s">
        <v>27</v>
      </c>
      <c r="E502" t="s">
        <v>14</v>
      </c>
      <c r="F502" t="s">
        <v>16</v>
      </c>
      <c r="G502">
        <v>105.73</v>
      </c>
      <c r="H502">
        <v>8</v>
      </c>
      <c r="I502">
        <v>415.5</v>
      </c>
      <c r="J502">
        <v>1</v>
      </c>
      <c r="K502">
        <v>277.75</v>
      </c>
    </row>
    <row r="503" spans="1:11" x14ac:dyDescent="0.3">
      <c r="A503" s="1">
        <v>45278</v>
      </c>
      <c r="B503" t="s">
        <v>21</v>
      </c>
      <c r="C503" t="s">
        <v>12</v>
      </c>
      <c r="D503" t="s">
        <v>27</v>
      </c>
      <c r="E503" t="s">
        <v>20</v>
      </c>
      <c r="F503" t="s">
        <v>16</v>
      </c>
      <c r="G503">
        <v>159.22999999999999</v>
      </c>
      <c r="H503">
        <v>6</v>
      </c>
      <c r="I503">
        <v>445.88</v>
      </c>
      <c r="J503">
        <v>0</v>
      </c>
      <c r="K503">
        <v>286.64999999999998</v>
      </c>
    </row>
    <row r="504" spans="1:11" x14ac:dyDescent="0.3">
      <c r="A504" s="1">
        <v>45187</v>
      </c>
      <c r="B504" t="s">
        <v>23</v>
      </c>
      <c r="C504" t="s">
        <v>24</v>
      </c>
      <c r="D504" t="s">
        <v>28</v>
      </c>
      <c r="E504" t="s">
        <v>14</v>
      </c>
      <c r="F504" t="s">
        <v>26</v>
      </c>
      <c r="G504">
        <v>132.81</v>
      </c>
      <c r="H504">
        <v>12</v>
      </c>
      <c r="I504">
        <v>258.45</v>
      </c>
      <c r="J504">
        <v>3</v>
      </c>
      <c r="K504">
        <v>66.38</v>
      </c>
    </row>
    <row r="505" spans="1:11" x14ac:dyDescent="0.3">
      <c r="A505" s="1">
        <v>45126</v>
      </c>
      <c r="B505" t="s">
        <v>17</v>
      </c>
      <c r="C505" t="s">
        <v>12</v>
      </c>
      <c r="D505" t="s">
        <v>13</v>
      </c>
      <c r="E505" t="s">
        <v>14</v>
      </c>
      <c r="F505" t="s">
        <v>16</v>
      </c>
      <c r="G505">
        <v>106.77</v>
      </c>
      <c r="H505">
        <v>15</v>
      </c>
      <c r="I505">
        <v>568.59</v>
      </c>
      <c r="J505">
        <v>3</v>
      </c>
      <c r="K505">
        <v>417.2</v>
      </c>
    </row>
    <row r="506" spans="1:11" x14ac:dyDescent="0.3">
      <c r="A506" s="1">
        <v>45057</v>
      </c>
      <c r="B506" t="s">
        <v>11</v>
      </c>
      <c r="C506" t="s">
        <v>24</v>
      </c>
      <c r="D506" t="s">
        <v>27</v>
      </c>
      <c r="E506" t="s">
        <v>20</v>
      </c>
      <c r="F506" t="s">
        <v>16</v>
      </c>
      <c r="G506">
        <v>32.71</v>
      </c>
      <c r="H506">
        <v>3</v>
      </c>
      <c r="I506">
        <v>91.03</v>
      </c>
      <c r="J506">
        <v>0</v>
      </c>
      <c r="K506">
        <v>58.32</v>
      </c>
    </row>
    <row r="507" spans="1:11" x14ac:dyDescent="0.3">
      <c r="A507" s="1">
        <v>45193</v>
      </c>
      <c r="B507" t="s">
        <v>23</v>
      </c>
      <c r="C507" t="s">
        <v>18</v>
      </c>
      <c r="D507" t="s">
        <v>25</v>
      </c>
      <c r="E507" t="s">
        <v>14</v>
      </c>
      <c r="F507" t="s">
        <v>26</v>
      </c>
      <c r="G507">
        <v>117.99</v>
      </c>
      <c r="H507">
        <v>5</v>
      </c>
      <c r="I507">
        <v>358.52</v>
      </c>
      <c r="J507">
        <v>3</v>
      </c>
      <c r="K507">
        <v>191.81</v>
      </c>
    </row>
    <row r="508" spans="1:11" x14ac:dyDescent="0.3">
      <c r="A508" s="1">
        <v>45139</v>
      </c>
      <c r="B508" t="s">
        <v>17</v>
      </c>
      <c r="C508" t="s">
        <v>12</v>
      </c>
      <c r="D508" t="s">
        <v>19</v>
      </c>
      <c r="E508" t="s">
        <v>20</v>
      </c>
      <c r="F508" t="s">
        <v>26</v>
      </c>
      <c r="G508">
        <v>89.27</v>
      </c>
      <c r="H508">
        <v>7</v>
      </c>
      <c r="I508">
        <v>118.1</v>
      </c>
      <c r="J508">
        <v>0</v>
      </c>
      <c r="K508">
        <v>28.83</v>
      </c>
    </row>
    <row r="509" spans="1:11" x14ac:dyDescent="0.3">
      <c r="A509" s="1">
        <v>44993</v>
      </c>
      <c r="B509" t="s">
        <v>11</v>
      </c>
      <c r="C509" t="s">
        <v>24</v>
      </c>
      <c r="D509" t="s">
        <v>28</v>
      </c>
      <c r="E509" t="s">
        <v>14</v>
      </c>
      <c r="F509" t="s">
        <v>16</v>
      </c>
      <c r="G509">
        <v>101.36</v>
      </c>
      <c r="H509">
        <v>9</v>
      </c>
      <c r="I509">
        <v>448.36</v>
      </c>
      <c r="J509">
        <v>3</v>
      </c>
      <c r="K509">
        <v>329.24</v>
      </c>
    </row>
    <row r="510" spans="1:11" x14ac:dyDescent="0.3">
      <c r="A510" s="1">
        <v>45291</v>
      </c>
      <c r="B510" t="s">
        <v>21</v>
      </c>
      <c r="C510" t="s">
        <v>18</v>
      </c>
      <c r="D510" t="s">
        <v>27</v>
      </c>
      <c r="E510" t="s">
        <v>14</v>
      </c>
      <c r="F510" t="s">
        <v>15</v>
      </c>
      <c r="G510">
        <v>126</v>
      </c>
      <c r="H510">
        <v>15</v>
      </c>
      <c r="I510">
        <v>369.29</v>
      </c>
      <c r="J510">
        <v>0</v>
      </c>
      <c r="K510">
        <v>243.29</v>
      </c>
    </row>
    <row r="511" spans="1:11" x14ac:dyDescent="0.3">
      <c r="A511" s="1">
        <v>45116</v>
      </c>
      <c r="B511" t="s">
        <v>17</v>
      </c>
      <c r="C511" t="s">
        <v>12</v>
      </c>
      <c r="D511" t="s">
        <v>13</v>
      </c>
      <c r="E511" t="s">
        <v>20</v>
      </c>
      <c r="F511" t="s">
        <v>15</v>
      </c>
      <c r="G511">
        <v>14.84</v>
      </c>
      <c r="H511">
        <v>12</v>
      </c>
      <c r="I511">
        <v>993.87</v>
      </c>
      <c r="J511">
        <v>0</v>
      </c>
      <c r="K511">
        <v>979.03</v>
      </c>
    </row>
    <row r="512" spans="1:11" x14ac:dyDescent="0.3">
      <c r="A512" s="1">
        <v>44996</v>
      </c>
      <c r="B512" t="s">
        <v>11</v>
      </c>
      <c r="C512" t="s">
        <v>29</v>
      </c>
      <c r="D512" t="s">
        <v>13</v>
      </c>
      <c r="E512" t="s">
        <v>14</v>
      </c>
      <c r="F512" t="s">
        <v>15</v>
      </c>
      <c r="G512">
        <v>19.22</v>
      </c>
      <c r="H512">
        <v>19</v>
      </c>
      <c r="I512">
        <v>583.54999999999995</v>
      </c>
      <c r="J512">
        <v>1</v>
      </c>
      <c r="K512">
        <v>537.23</v>
      </c>
    </row>
    <row r="513" spans="1:11" x14ac:dyDescent="0.3">
      <c r="A513" s="1">
        <v>45155</v>
      </c>
      <c r="B513" t="s">
        <v>17</v>
      </c>
      <c r="C513" t="s">
        <v>24</v>
      </c>
      <c r="D513" t="s">
        <v>13</v>
      </c>
      <c r="E513" t="s">
        <v>14</v>
      </c>
      <c r="F513" t="s">
        <v>22</v>
      </c>
      <c r="G513">
        <v>38.21</v>
      </c>
      <c r="H513">
        <v>15</v>
      </c>
      <c r="I513">
        <v>604.11</v>
      </c>
      <c r="J513">
        <v>3</v>
      </c>
      <c r="K513">
        <v>437.29</v>
      </c>
    </row>
    <row r="514" spans="1:11" x14ac:dyDescent="0.3">
      <c r="A514" s="1">
        <v>45266</v>
      </c>
      <c r="B514" t="s">
        <v>21</v>
      </c>
      <c r="C514" t="s">
        <v>29</v>
      </c>
      <c r="D514" t="s">
        <v>27</v>
      </c>
      <c r="E514" t="s">
        <v>20</v>
      </c>
      <c r="F514" t="s">
        <v>22</v>
      </c>
      <c r="G514">
        <v>92.07</v>
      </c>
      <c r="H514">
        <v>8</v>
      </c>
      <c r="I514">
        <v>219.86</v>
      </c>
      <c r="J514">
        <v>2</v>
      </c>
      <c r="K514">
        <v>28.28</v>
      </c>
    </row>
    <row r="515" spans="1:11" x14ac:dyDescent="0.3">
      <c r="A515" s="1">
        <v>45289</v>
      </c>
      <c r="B515" t="s">
        <v>21</v>
      </c>
      <c r="C515" t="s">
        <v>12</v>
      </c>
      <c r="D515" t="s">
        <v>28</v>
      </c>
      <c r="E515" t="s">
        <v>20</v>
      </c>
      <c r="F515" t="s">
        <v>16</v>
      </c>
      <c r="G515">
        <v>159.43</v>
      </c>
      <c r="H515">
        <v>9</v>
      </c>
      <c r="I515">
        <v>286.51</v>
      </c>
      <c r="J515">
        <v>2</v>
      </c>
      <c r="K515">
        <v>94.7</v>
      </c>
    </row>
    <row r="516" spans="1:11" x14ac:dyDescent="0.3">
      <c r="A516" s="1">
        <v>44931</v>
      </c>
      <c r="B516" t="s">
        <v>21</v>
      </c>
      <c r="C516" t="s">
        <v>29</v>
      </c>
      <c r="D516" t="s">
        <v>25</v>
      </c>
      <c r="E516" t="s">
        <v>14</v>
      </c>
      <c r="F516" t="s">
        <v>26</v>
      </c>
      <c r="G516">
        <v>69.989999999999995</v>
      </c>
      <c r="H516">
        <v>1</v>
      </c>
      <c r="I516">
        <v>83.03</v>
      </c>
      <c r="J516">
        <v>1</v>
      </c>
      <c r="K516">
        <v>0.83</v>
      </c>
    </row>
    <row r="517" spans="1:11" x14ac:dyDescent="0.3">
      <c r="A517" s="1">
        <v>45104</v>
      </c>
      <c r="B517" t="s">
        <v>17</v>
      </c>
      <c r="C517" t="s">
        <v>24</v>
      </c>
      <c r="D517" t="s">
        <v>27</v>
      </c>
      <c r="E517" t="s">
        <v>20</v>
      </c>
      <c r="F517" t="s">
        <v>22</v>
      </c>
      <c r="G517">
        <v>33.83</v>
      </c>
      <c r="H517">
        <v>9</v>
      </c>
      <c r="I517">
        <v>538.78</v>
      </c>
      <c r="J517">
        <v>1</v>
      </c>
      <c r="K517">
        <v>487.82</v>
      </c>
    </row>
    <row r="518" spans="1:11" x14ac:dyDescent="0.3">
      <c r="A518" s="1">
        <v>45114</v>
      </c>
      <c r="B518" t="s">
        <v>17</v>
      </c>
      <c r="C518" t="s">
        <v>18</v>
      </c>
      <c r="D518" t="s">
        <v>28</v>
      </c>
      <c r="E518" t="s">
        <v>20</v>
      </c>
      <c r="F518" t="s">
        <v>22</v>
      </c>
      <c r="G518">
        <v>131.44999999999999</v>
      </c>
      <c r="H518">
        <v>4</v>
      </c>
      <c r="I518">
        <v>88.07</v>
      </c>
      <c r="J518">
        <v>3</v>
      </c>
      <c r="K518">
        <v>-59.99</v>
      </c>
    </row>
    <row r="519" spans="1:11" x14ac:dyDescent="0.3">
      <c r="A519" s="1">
        <v>45211</v>
      </c>
      <c r="B519" t="s">
        <v>23</v>
      </c>
      <c r="C519" t="s">
        <v>12</v>
      </c>
      <c r="D519" t="s">
        <v>28</v>
      </c>
      <c r="E519" t="s">
        <v>14</v>
      </c>
      <c r="F519" t="s">
        <v>16</v>
      </c>
      <c r="G519">
        <v>162.81</v>
      </c>
      <c r="H519">
        <v>7</v>
      </c>
      <c r="I519">
        <v>479.81</v>
      </c>
      <c r="J519">
        <v>0</v>
      </c>
      <c r="K519">
        <v>317</v>
      </c>
    </row>
    <row r="520" spans="1:11" x14ac:dyDescent="0.3">
      <c r="A520" s="1">
        <v>45260</v>
      </c>
      <c r="B520" t="s">
        <v>23</v>
      </c>
      <c r="C520" t="s">
        <v>29</v>
      </c>
      <c r="D520" t="s">
        <v>19</v>
      </c>
      <c r="E520" t="s">
        <v>14</v>
      </c>
      <c r="F520" t="s">
        <v>15</v>
      </c>
      <c r="G520">
        <v>61.54</v>
      </c>
      <c r="H520">
        <v>1</v>
      </c>
      <c r="I520">
        <v>90.11</v>
      </c>
      <c r="J520">
        <v>1</v>
      </c>
      <c r="K520">
        <v>5.47</v>
      </c>
    </row>
    <row r="521" spans="1:11" x14ac:dyDescent="0.3">
      <c r="A521" s="1">
        <v>45068</v>
      </c>
      <c r="B521" t="s">
        <v>11</v>
      </c>
      <c r="C521" t="s">
        <v>29</v>
      </c>
      <c r="D521" t="s">
        <v>13</v>
      </c>
      <c r="E521" t="s">
        <v>20</v>
      </c>
      <c r="F521" t="s">
        <v>16</v>
      </c>
      <c r="G521">
        <v>196.02</v>
      </c>
      <c r="H521">
        <v>14</v>
      </c>
      <c r="I521">
        <v>1253.6199999999999</v>
      </c>
      <c r="J521">
        <v>1</v>
      </c>
      <c r="K521">
        <v>1042.05</v>
      </c>
    </row>
    <row r="522" spans="1:11" x14ac:dyDescent="0.3">
      <c r="A522" s="1">
        <v>45053</v>
      </c>
      <c r="B522" t="s">
        <v>11</v>
      </c>
      <c r="C522" t="s">
        <v>12</v>
      </c>
      <c r="D522" t="s">
        <v>19</v>
      </c>
      <c r="E522" t="s">
        <v>14</v>
      </c>
      <c r="F522" t="s">
        <v>22</v>
      </c>
      <c r="G522">
        <v>10.96</v>
      </c>
      <c r="H522">
        <v>17</v>
      </c>
      <c r="I522">
        <v>1289.46</v>
      </c>
      <c r="J522">
        <v>2</v>
      </c>
      <c r="K522">
        <v>1180.79</v>
      </c>
    </row>
    <row r="523" spans="1:11" x14ac:dyDescent="0.3">
      <c r="A523" s="1">
        <v>44991</v>
      </c>
      <c r="B523" t="s">
        <v>11</v>
      </c>
      <c r="C523" t="s">
        <v>18</v>
      </c>
      <c r="D523" t="s">
        <v>27</v>
      </c>
      <c r="E523" t="s">
        <v>14</v>
      </c>
      <c r="F523" t="s">
        <v>22</v>
      </c>
      <c r="G523">
        <v>60.13</v>
      </c>
      <c r="H523">
        <v>19</v>
      </c>
      <c r="I523">
        <v>1206.54</v>
      </c>
      <c r="J523">
        <v>1</v>
      </c>
      <c r="K523">
        <v>1124.06</v>
      </c>
    </row>
    <row r="524" spans="1:11" x14ac:dyDescent="0.3">
      <c r="A524" s="1">
        <v>45170</v>
      </c>
      <c r="B524" t="s">
        <v>23</v>
      </c>
      <c r="C524" t="s">
        <v>24</v>
      </c>
      <c r="D524" t="s">
        <v>25</v>
      </c>
      <c r="E524" t="s">
        <v>20</v>
      </c>
      <c r="F524" t="s">
        <v>16</v>
      </c>
      <c r="G524">
        <v>194.34</v>
      </c>
      <c r="H524">
        <v>1</v>
      </c>
      <c r="I524">
        <v>19.079999999999998</v>
      </c>
      <c r="J524">
        <v>0</v>
      </c>
      <c r="K524">
        <v>-175.26</v>
      </c>
    </row>
    <row r="525" spans="1:11" x14ac:dyDescent="0.3">
      <c r="A525" s="1">
        <v>45193</v>
      </c>
      <c r="B525" t="s">
        <v>23</v>
      </c>
      <c r="C525" t="s">
        <v>12</v>
      </c>
      <c r="D525" t="s">
        <v>13</v>
      </c>
      <c r="E525" t="s">
        <v>20</v>
      </c>
      <c r="F525" t="s">
        <v>22</v>
      </c>
      <c r="G525">
        <v>161.25</v>
      </c>
      <c r="H525">
        <v>2</v>
      </c>
      <c r="I525">
        <v>172.83</v>
      </c>
      <c r="J525">
        <v>0</v>
      </c>
      <c r="K525">
        <v>11.58</v>
      </c>
    </row>
    <row r="526" spans="1:11" x14ac:dyDescent="0.3">
      <c r="A526" s="1">
        <v>45063</v>
      </c>
      <c r="B526" t="s">
        <v>11</v>
      </c>
      <c r="C526" t="s">
        <v>12</v>
      </c>
      <c r="D526" t="s">
        <v>27</v>
      </c>
      <c r="E526" t="s">
        <v>14</v>
      </c>
      <c r="F526" t="s">
        <v>16</v>
      </c>
      <c r="G526">
        <v>161.37</v>
      </c>
      <c r="H526">
        <v>13</v>
      </c>
      <c r="I526">
        <v>332.31</v>
      </c>
      <c r="J526">
        <v>1</v>
      </c>
      <c r="K526">
        <v>140.87</v>
      </c>
    </row>
    <row r="527" spans="1:11" x14ac:dyDescent="0.3">
      <c r="A527" s="1">
        <v>45263</v>
      </c>
      <c r="B527" t="s">
        <v>21</v>
      </c>
      <c r="C527" t="s">
        <v>24</v>
      </c>
      <c r="D527" t="s">
        <v>28</v>
      </c>
      <c r="E527" t="s">
        <v>14</v>
      </c>
      <c r="F527" t="s">
        <v>16</v>
      </c>
      <c r="G527">
        <v>147.82</v>
      </c>
      <c r="H527">
        <v>1</v>
      </c>
      <c r="I527">
        <v>55.83</v>
      </c>
      <c r="J527">
        <v>1</v>
      </c>
      <c r="K527">
        <v>-113.61</v>
      </c>
    </row>
    <row r="528" spans="1:11" x14ac:dyDescent="0.3">
      <c r="A528" s="1">
        <v>45032</v>
      </c>
      <c r="B528" t="s">
        <v>11</v>
      </c>
      <c r="C528" t="s">
        <v>24</v>
      </c>
      <c r="D528" t="s">
        <v>19</v>
      </c>
      <c r="E528" t="s">
        <v>14</v>
      </c>
      <c r="F528" t="s">
        <v>15</v>
      </c>
      <c r="G528">
        <v>164.86</v>
      </c>
      <c r="H528">
        <v>9</v>
      </c>
      <c r="I528">
        <v>767.6</v>
      </c>
      <c r="J528">
        <v>0</v>
      </c>
      <c r="K528">
        <v>602.74</v>
      </c>
    </row>
    <row r="529" spans="1:11" x14ac:dyDescent="0.3">
      <c r="A529" s="1">
        <v>44965</v>
      </c>
      <c r="B529" t="s">
        <v>21</v>
      </c>
      <c r="C529" t="s">
        <v>29</v>
      </c>
      <c r="D529" t="s">
        <v>19</v>
      </c>
      <c r="E529" t="s">
        <v>14</v>
      </c>
      <c r="F529" t="s">
        <v>26</v>
      </c>
      <c r="G529">
        <v>53.71</v>
      </c>
      <c r="H529">
        <v>5</v>
      </c>
      <c r="I529">
        <v>361.44</v>
      </c>
      <c r="J529">
        <v>0</v>
      </c>
      <c r="K529">
        <v>307.73</v>
      </c>
    </row>
    <row r="530" spans="1:11" x14ac:dyDescent="0.3">
      <c r="A530" s="1">
        <v>45258</v>
      </c>
      <c r="B530" t="s">
        <v>23</v>
      </c>
      <c r="C530" t="s">
        <v>24</v>
      </c>
      <c r="D530" t="s">
        <v>27</v>
      </c>
      <c r="E530" t="s">
        <v>20</v>
      </c>
      <c r="F530" t="s">
        <v>15</v>
      </c>
      <c r="G530">
        <v>95.52</v>
      </c>
      <c r="H530">
        <v>18</v>
      </c>
      <c r="I530">
        <v>325.14</v>
      </c>
      <c r="J530">
        <v>3</v>
      </c>
      <c r="K530">
        <v>94.64</v>
      </c>
    </row>
    <row r="531" spans="1:11" x14ac:dyDescent="0.3">
      <c r="A531" s="1">
        <v>45158</v>
      </c>
      <c r="B531" t="s">
        <v>17</v>
      </c>
      <c r="C531" t="s">
        <v>12</v>
      </c>
      <c r="D531" t="s">
        <v>19</v>
      </c>
      <c r="E531" t="s">
        <v>14</v>
      </c>
      <c r="F531" t="s">
        <v>22</v>
      </c>
      <c r="G531">
        <v>187.78</v>
      </c>
      <c r="H531">
        <v>11</v>
      </c>
      <c r="I531">
        <v>469.18</v>
      </c>
      <c r="J531">
        <v>3</v>
      </c>
      <c r="K531">
        <v>224.62</v>
      </c>
    </row>
    <row r="532" spans="1:11" x14ac:dyDescent="0.3">
      <c r="A532" s="1">
        <v>44948</v>
      </c>
      <c r="B532" t="s">
        <v>21</v>
      </c>
      <c r="C532" t="s">
        <v>18</v>
      </c>
      <c r="D532" t="s">
        <v>19</v>
      </c>
      <c r="E532" t="s">
        <v>20</v>
      </c>
      <c r="F532" t="s">
        <v>22</v>
      </c>
      <c r="G532">
        <v>24.68</v>
      </c>
      <c r="H532">
        <v>8</v>
      </c>
      <c r="I532">
        <v>430.15</v>
      </c>
      <c r="J532">
        <v>1</v>
      </c>
      <c r="K532">
        <v>367.82</v>
      </c>
    </row>
    <row r="533" spans="1:11" x14ac:dyDescent="0.3">
      <c r="A533" s="1">
        <v>45288</v>
      </c>
      <c r="B533" t="s">
        <v>21</v>
      </c>
      <c r="C533" t="s">
        <v>18</v>
      </c>
      <c r="D533" t="s">
        <v>19</v>
      </c>
      <c r="E533" t="s">
        <v>14</v>
      </c>
      <c r="F533" t="s">
        <v>22</v>
      </c>
      <c r="G533">
        <v>168.45</v>
      </c>
      <c r="H533">
        <v>16</v>
      </c>
      <c r="I533">
        <v>230.72</v>
      </c>
      <c r="J533">
        <v>3</v>
      </c>
      <c r="K533">
        <v>-1.73</v>
      </c>
    </row>
    <row r="534" spans="1:11" x14ac:dyDescent="0.3">
      <c r="A534" s="1">
        <v>45125</v>
      </c>
      <c r="B534" t="s">
        <v>17</v>
      </c>
      <c r="C534" t="s">
        <v>18</v>
      </c>
      <c r="D534" t="s">
        <v>27</v>
      </c>
      <c r="E534" t="s">
        <v>14</v>
      </c>
      <c r="F534" t="s">
        <v>15</v>
      </c>
      <c r="G534">
        <v>158.38999999999999</v>
      </c>
      <c r="H534">
        <v>9</v>
      </c>
      <c r="I534">
        <v>482.47</v>
      </c>
      <c r="J534">
        <v>3</v>
      </c>
      <c r="K534">
        <v>176.59</v>
      </c>
    </row>
    <row r="535" spans="1:11" x14ac:dyDescent="0.3">
      <c r="A535" s="1">
        <v>45039</v>
      </c>
      <c r="B535" t="s">
        <v>11</v>
      </c>
      <c r="C535" t="s">
        <v>24</v>
      </c>
      <c r="D535" t="s">
        <v>13</v>
      </c>
      <c r="E535" t="s">
        <v>20</v>
      </c>
      <c r="F535" t="s">
        <v>15</v>
      </c>
      <c r="G535">
        <v>71.08</v>
      </c>
      <c r="H535">
        <v>2</v>
      </c>
      <c r="I535">
        <v>21.67</v>
      </c>
      <c r="J535">
        <v>1</v>
      </c>
      <c r="K535">
        <v>-63.58</v>
      </c>
    </row>
    <row r="536" spans="1:11" x14ac:dyDescent="0.3">
      <c r="A536" s="1">
        <v>45143</v>
      </c>
      <c r="B536" t="s">
        <v>17</v>
      </c>
      <c r="C536" t="s">
        <v>18</v>
      </c>
      <c r="D536" t="s">
        <v>19</v>
      </c>
      <c r="E536" t="s">
        <v>20</v>
      </c>
      <c r="F536" t="s">
        <v>16</v>
      </c>
      <c r="G536">
        <v>107.23</v>
      </c>
      <c r="H536">
        <v>19</v>
      </c>
      <c r="I536">
        <v>940.52</v>
      </c>
      <c r="J536">
        <v>2</v>
      </c>
      <c r="K536">
        <v>815</v>
      </c>
    </row>
    <row r="537" spans="1:11" x14ac:dyDescent="0.3">
      <c r="A537" s="1">
        <v>44943</v>
      </c>
      <c r="B537" t="s">
        <v>21</v>
      </c>
      <c r="C537" t="s">
        <v>29</v>
      </c>
      <c r="D537" t="s">
        <v>28</v>
      </c>
      <c r="E537" t="s">
        <v>20</v>
      </c>
      <c r="F537" t="s">
        <v>26</v>
      </c>
      <c r="G537">
        <v>5.84</v>
      </c>
      <c r="H537">
        <v>3</v>
      </c>
      <c r="I537">
        <v>124.66</v>
      </c>
      <c r="J537">
        <v>0</v>
      </c>
      <c r="K537">
        <v>118.82</v>
      </c>
    </row>
    <row r="538" spans="1:11" x14ac:dyDescent="0.3">
      <c r="A538" s="1">
        <v>45170</v>
      </c>
      <c r="B538" t="s">
        <v>23</v>
      </c>
      <c r="C538" t="s">
        <v>29</v>
      </c>
      <c r="D538" t="s">
        <v>19</v>
      </c>
      <c r="E538" t="s">
        <v>20</v>
      </c>
      <c r="F538" t="s">
        <v>16</v>
      </c>
      <c r="G538">
        <v>161</v>
      </c>
      <c r="H538">
        <v>5</v>
      </c>
      <c r="I538">
        <v>125.72</v>
      </c>
      <c r="J538">
        <v>2</v>
      </c>
      <c r="K538">
        <v>-71.02</v>
      </c>
    </row>
    <row r="539" spans="1:11" x14ac:dyDescent="0.3">
      <c r="A539" s="1">
        <v>45204</v>
      </c>
      <c r="B539" t="s">
        <v>23</v>
      </c>
      <c r="C539" t="s">
        <v>29</v>
      </c>
      <c r="D539" t="s">
        <v>25</v>
      </c>
      <c r="E539" t="s">
        <v>20</v>
      </c>
      <c r="F539" t="s">
        <v>22</v>
      </c>
      <c r="G539">
        <v>123.24</v>
      </c>
      <c r="H539">
        <v>7</v>
      </c>
      <c r="I539">
        <v>573.39</v>
      </c>
      <c r="J539">
        <v>2</v>
      </c>
      <c r="K539">
        <v>391.52</v>
      </c>
    </row>
    <row r="540" spans="1:11" x14ac:dyDescent="0.3">
      <c r="A540" s="1">
        <v>45091</v>
      </c>
      <c r="B540" t="s">
        <v>17</v>
      </c>
      <c r="C540" t="s">
        <v>24</v>
      </c>
      <c r="D540" t="s">
        <v>19</v>
      </c>
      <c r="E540" t="s">
        <v>20</v>
      </c>
      <c r="F540" t="s">
        <v>26</v>
      </c>
      <c r="G540">
        <v>57.36</v>
      </c>
      <c r="H540">
        <v>7</v>
      </c>
      <c r="I540">
        <v>368.61</v>
      </c>
      <c r="J540">
        <v>1</v>
      </c>
      <c r="K540">
        <v>294.63</v>
      </c>
    </row>
    <row r="541" spans="1:11" x14ac:dyDescent="0.3">
      <c r="A541" s="1">
        <v>44931</v>
      </c>
      <c r="B541" t="s">
        <v>21</v>
      </c>
      <c r="C541" t="s">
        <v>29</v>
      </c>
      <c r="D541" t="s">
        <v>28</v>
      </c>
      <c r="E541" t="s">
        <v>14</v>
      </c>
      <c r="F541" t="s">
        <v>15</v>
      </c>
      <c r="G541">
        <v>61.55</v>
      </c>
      <c r="H541">
        <v>8</v>
      </c>
      <c r="I541">
        <v>498.75</v>
      </c>
      <c r="J541">
        <v>2</v>
      </c>
      <c r="K541">
        <v>353.1</v>
      </c>
    </row>
    <row r="542" spans="1:11" x14ac:dyDescent="0.3">
      <c r="A542" s="1">
        <v>45093</v>
      </c>
      <c r="B542" t="s">
        <v>17</v>
      </c>
      <c r="C542" t="s">
        <v>29</v>
      </c>
      <c r="D542" t="s">
        <v>25</v>
      </c>
      <c r="E542" t="s">
        <v>20</v>
      </c>
      <c r="F542" t="s">
        <v>15</v>
      </c>
      <c r="G542">
        <v>154</v>
      </c>
      <c r="H542">
        <v>18</v>
      </c>
      <c r="I542">
        <v>861.2</v>
      </c>
      <c r="J542">
        <v>1</v>
      </c>
      <c r="K542">
        <v>657.99</v>
      </c>
    </row>
    <row r="543" spans="1:11" x14ac:dyDescent="0.3">
      <c r="A543" s="1">
        <v>45240</v>
      </c>
      <c r="B543" t="s">
        <v>23</v>
      </c>
      <c r="C543" t="s">
        <v>18</v>
      </c>
      <c r="D543" t="s">
        <v>13</v>
      </c>
      <c r="E543" t="s">
        <v>20</v>
      </c>
      <c r="F543" t="s">
        <v>22</v>
      </c>
      <c r="G543">
        <v>95.15</v>
      </c>
      <c r="H543">
        <v>13</v>
      </c>
      <c r="I543">
        <v>1168.1500000000001</v>
      </c>
      <c r="J543">
        <v>1</v>
      </c>
      <c r="K543">
        <v>1066.1600000000001</v>
      </c>
    </row>
    <row r="544" spans="1:11" x14ac:dyDescent="0.3">
      <c r="A544" s="1">
        <v>45091</v>
      </c>
      <c r="B544" t="s">
        <v>17</v>
      </c>
      <c r="C544" t="s">
        <v>24</v>
      </c>
      <c r="D544" t="s">
        <v>27</v>
      </c>
      <c r="E544" t="s">
        <v>14</v>
      </c>
      <c r="F544" t="s">
        <v>16</v>
      </c>
      <c r="G544">
        <v>72.95</v>
      </c>
      <c r="H544">
        <v>13</v>
      </c>
      <c r="I544">
        <v>431.94</v>
      </c>
      <c r="J544">
        <v>3</v>
      </c>
      <c r="K544">
        <v>245.93</v>
      </c>
    </row>
    <row r="545" spans="1:11" x14ac:dyDescent="0.3">
      <c r="A545" s="1">
        <v>45190</v>
      </c>
      <c r="B545" t="s">
        <v>23</v>
      </c>
      <c r="C545" t="s">
        <v>24</v>
      </c>
      <c r="D545" t="s">
        <v>28</v>
      </c>
      <c r="E545" t="s">
        <v>20</v>
      </c>
      <c r="F545" t="s">
        <v>22</v>
      </c>
      <c r="G545">
        <v>80.45</v>
      </c>
      <c r="H545">
        <v>15</v>
      </c>
      <c r="I545">
        <v>1042.17</v>
      </c>
      <c r="J545">
        <v>1</v>
      </c>
      <c r="K545">
        <v>952.63</v>
      </c>
    </row>
    <row r="546" spans="1:11" x14ac:dyDescent="0.3">
      <c r="A546" s="1">
        <v>45079</v>
      </c>
      <c r="B546" t="s">
        <v>17</v>
      </c>
      <c r="C546" t="s">
        <v>18</v>
      </c>
      <c r="D546" t="s">
        <v>28</v>
      </c>
      <c r="E546" t="s">
        <v>20</v>
      </c>
      <c r="F546" t="s">
        <v>26</v>
      </c>
      <c r="G546">
        <v>141.59</v>
      </c>
      <c r="H546">
        <v>5</v>
      </c>
      <c r="I546">
        <v>454.48</v>
      </c>
      <c r="J546">
        <v>1</v>
      </c>
      <c r="K546">
        <v>302.76</v>
      </c>
    </row>
    <row r="547" spans="1:11" x14ac:dyDescent="0.3">
      <c r="A547" s="1">
        <v>44976</v>
      </c>
      <c r="B547" t="s">
        <v>21</v>
      </c>
      <c r="C547" t="s">
        <v>29</v>
      </c>
      <c r="D547" t="s">
        <v>19</v>
      </c>
      <c r="E547" t="s">
        <v>14</v>
      </c>
      <c r="F547" t="s">
        <v>15</v>
      </c>
      <c r="G547">
        <v>43.37</v>
      </c>
      <c r="H547">
        <v>15</v>
      </c>
      <c r="I547">
        <v>1170.67</v>
      </c>
      <c r="J547">
        <v>3</v>
      </c>
      <c r="K547">
        <v>1086.58</v>
      </c>
    </row>
    <row r="548" spans="1:11" x14ac:dyDescent="0.3">
      <c r="A548" s="1">
        <v>44999</v>
      </c>
      <c r="B548" t="s">
        <v>11</v>
      </c>
      <c r="C548" t="s">
        <v>29</v>
      </c>
      <c r="D548" t="s">
        <v>13</v>
      </c>
      <c r="E548" t="s">
        <v>14</v>
      </c>
      <c r="F548" t="s">
        <v>22</v>
      </c>
      <c r="G548">
        <v>38.82</v>
      </c>
      <c r="H548">
        <v>14</v>
      </c>
      <c r="I548">
        <v>1240.9100000000001</v>
      </c>
      <c r="J548">
        <v>1</v>
      </c>
      <c r="K548">
        <v>1174.33</v>
      </c>
    </row>
    <row r="549" spans="1:11" x14ac:dyDescent="0.3">
      <c r="A549" s="1">
        <v>45084</v>
      </c>
      <c r="B549" t="s">
        <v>17</v>
      </c>
      <c r="C549" t="s">
        <v>18</v>
      </c>
      <c r="D549" t="s">
        <v>19</v>
      </c>
      <c r="E549" t="s">
        <v>20</v>
      </c>
      <c r="F549" t="s">
        <v>22</v>
      </c>
      <c r="G549">
        <v>165.22</v>
      </c>
      <c r="H549">
        <v>6</v>
      </c>
      <c r="I549">
        <v>143.41</v>
      </c>
      <c r="J549">
        <v>1</v>
      </c>
      <c r="K549">
        <v>-51.83</v>
      </c>
    </row>
    <row r="550" spans="1:11" x14ac:dyDescent="0.3">
      <c r="A550" s="1">
        <v>45139</v>
      </c>
      <c r="B550" t="s">
        <v>17</v>
      </c>
      <c r="C550" t="s">
        <v>29</v>
      </c>
      <c r="D550" t="s">
        <v>28</v>
      </c>
      <c r="E550" t="s">
        <v>20</v>
      </c>
      <c r="F550" t="s">
        <v>15</v>
      </c>
      <c r="G550">
        <v>18.579999999999998</v>
      </c>
      <c r="H550">
        <v>6</v>
      </c>
      <c r="I550">
        <v>204.58</v>
      </c>
      <c r="J550">
        <v>0</v>
      </c>
      <c r="K550">
        <v>186</v>
      </c>
    </row>
    <row r="551" spans="1:11" x14ac:dyDescent="0.3">
      <c r="A551" s="1">
        <v>45115</v>
      </c>
      <c r="B551" t="s">
        <v>17</v>
      </c>
      <c r="C551" t="s">
        <v>18</v>
      </c>
      <c r="D551" t="s">
        <v>27</v>
      </c>
      <c r="E551" t="s">
        <v>20</v>
      </c>
      <c r="F551" t="s">
        <v>22</v>
      </c>
      <c r="G551">
        <v>198.65</v>
      </c>
      <c r="H551">
        <v>7</v>
      </c>
      <c r="I551">
        <v>609.99</v>
      </c>
      <c r="J551">
        <v>3</v>
      </c>
      <c r="K551">
        <v>358.81</v>
      </c>
    </row>
    <row r="552" spans="1:11" x14ac:dyDescent="0.3">
      <c r="A552" s="1">
        <v>44945</v>
      </c>
      <c r="B552" t="s">
        <v>21</v>
      </c>
      <c r="C552" t="s">
        <v>24</v>
      </c>
      <c r="D552" t="s">
        <v>28</v>
      </c>
      <c r="E552" t="s">
        <v>20</v>
      </c>
      <c r="F552" t="s">
        <v>22</v>
      </c>
      <c r="G552">
        <v>50.62</v>
      </c>
      <c r="H552">
        <v>13</v>
      </c>
      <c r="I552">
        <v>861.5</v>
      </c>
      <c r="J552">
        <v>1</v>
      </c>
      <c r="K552">
        <v>767.68</v>
      </c>
    </row>
    <row r="553" spans="1:11" x14ac:dyDescent="0.3">
      <c r="A553" s="1">
        <v>45253</v>
      </c>
      <c r="B553" t="s">
        <v>23</v>
      </c>
      <c r="C553" t="s">
        <v>18</v>
      </c>
      <c r="D553" t="s">
        <v>25</v>
      </c>
      <c r="E553" t="s">
        <v>20</v>
      </c>
      <c r="F553" t="s">
        <v>15</v>
      </c>
      <c r="G553">
        <v>57.43</v>
      </c>
      <c r="H553">
        <v>11</v>
      </c>
      <c r="I553">
        <v>870.01</v>
      </c>
      <c r="J553">
        <v>1</v>
      </c>
      <c r="K553">
        <v>775.12</v>
      </c>
    </row>
    <row r="554" spans="1:11" x14ac:dyDescent="0.3">
      <c r="A554" s="1">
        <v>44991</v>
      </c>
      <c r="B554" t="s">
        <v>11</v>
      </c>
      <c r="C554" t="s">
        <v>24</v>
      </c>
      <c r="D554" t="s">
        <v>25</v>
      </c>
      <c r="E554" t="s">
        <v>14</v>
      </c>
      <c r="F554" t="s">
        <v>16</v>
      </c>
      <c r="G554">
        <v>170.26</v>
      </c>
      <c r="H554">
        <v>8</v>
      </c>
      <c r="I554">
        <v>198.65</v>
      </c>
      <c r="J554">
        <v>1</v>
      </c>
      <c r="K554">
        <v>-6.58</v>
      </c>
    </row>
    <row r="555" spans="1:11" x14ac:dyDescent="0.3">
      <c r="A555" s="1">
        <v>44936</v>
      </c>
      <c r="B555" t="s">
        <v>21</v>
      </c>
      <c r="C555" t="s">
        <v>24</v>
      </c>
      <c r="D555" t="s">
        <v>27</v>
      </c>
      <c r="E555" t="s">
        <v>14</v>
      </c>
      <c r="F555" t="s">
        <v>26</v>
      </c>
      <c r="G555">
        <v>135.94999999999999</v>
      </c>
      <c r="H555">
        <v>1</v>
      </c>
      <c r="I555">
        <v>45.04</v>
      </c>
      <c r="J555">
        <v>1</v>
      </c>
      <c r="K555">
        <v>-131.05000000000001</v>
      </c>
    </row>
    <row r="556" spans="1:11" x14ac:dyDescent="0.3">
      <c r="A556" s="1">
        <v>45137</v>
      </c>
      <c r="B556" t="s">
        <v>17</v>
      </c>
      <c r="C556" t="s">
        <v>24</v>
      </c>
      <c r="D556" t="s">
        <v>19</v>
      </c>
      <c r="E556" t="s">
        <v>20</v>
      </c>
      <c r="F556" t="s">
        <v>15</v>
      </c>
      <c r="G556">
        <v>128.41999999999999</v>
      </c>
      <c r="H556">
        <v>19</v>
      </c>
      <c r="I556">
        <v>856.31</v>
      </c>
      <c r="J556">
        <v>1</v>
      </c>
      <c r="K556">
        <v>712.78</v>
      </c>
    </row>
    <row r="557" spans="1:11" x14ac:dyDescent="0.3">
      <c r="A557" s="1">
        <v>45075</v>
      </c>
      <c r="B557" t="s">
        <v>11</v>
      </c>
      <c r="C557" t="s">
        <v>24</v>
      </c>
      <c r="D557" t="s">
        <v>19</v>
      </c>
      <c r="E557" t="s">
        <v>20</v>
      </c>
      <c r="F557" t="s">
        <v>22</v>
      </c>
      <c r="G557">
        <v>12.89</v>
      </c>
      <c r="H557">
        <v>9</v>
      </c>
      <c r="I557">
        <v>315.8</v>
      </c>
      <c r="J557">
        <v>1</v>
      </c>
      <c r="K557">
        <v>266.79000000000002</v>
      </c>
    </row>
    <row r="558" spans="1:11" x14ac:dyDescent="0.3">
      <c r="A558" s="1">
        <v>45220</v>
      </c>
      <c r="B558" t="s">
        <v>23</v>
      </c>
      <c r="C558" t="s">
        <v>24</v>
      </c>
      <c r="D558" t="s">
        <v>25</v>
      </c>
      <c r="E558" t="s">
        <v>20</v>
      </c>
      <c r="F558" t="s">
        <v>22</v>
      </c>
      <c r="G558">
        <v>12.87</v>
      </c>
      <c r="H558">
        <v>13</v>
      </c>
      <c r="I558">
        <v>550.1</v>
      </c>
      <c r="J558">
        <v>1</v>
      </c>
      <c r="K558">
        <v>527.69000000000005</v>
      </c>
    </row>
    <row r="559" spans="1:11" x14ac:dyDescent="0.3">
      <c r="A559" s="1">
        <v>45068</v>
      </c>
      <c r="B559" t="s">
        <v>11</v>
      </c>
      <c r="C559" t="s">
        <v>12</v>
      </c>
      <c r="D559" t="s">
        <v>28</v>
      </c>
      <c r="E559" t="s">
        <v>14</v>
      </c>
      <c r="F559" t="s">
        <v>26</v>
      </c>
      <c r="G559">
        <v>68.66</v>
      </c>
      <c r="H559">
        <v>1</v>
      </c>
      <c r="I559">
        <v>37.47</v>
      </c>
      <c r="J559">
        <v>1</v>
      </c>
      <c r="K559">
        <v>-75.91</v>
      </c>
    </row>
    <row r="560" spans="1:11" x14ac:dyDescent="0.3">
      <c r="A560" s="1">
        <v>45174</v>
      </c>
      <c r="B560" t="s">
        <v>23</v>
      </c>
      <c r="C560" t="s">
        <v>18</v>
      </c>
      <c r="D560" t="s">
        <v>27</v>
      </c>
      <c r="E560" t="s">
        <v>14</v>
      </c>
      <c r="F560" t="s">
        <v>16</v>
      </c>
      <c r="G560">
        <v>179.95</v>
      </c>
      <c r="H560">
        <v>14</v>
      </c>
      <c r="I560">
        <v>958.01</v>
      </c>
      <c r="J560">
        <v>1</v>
      </c>
      <c r="K560">
        <v>755.38</v>
      </c>
    </row>
    <row r="561" spans="1:11" x14ac:dyDescent="0.3">
      <c r="A561" s="1">
        <v>45126</v>
      </c>
      <c r="B561" t="s">
        <v>17</v>
      </c>
      <c r="C561" t="s">
        <v>24</v>
      </c>
      <c r="D561" t="s">
        <v>25</v>
      </c>
      <c r="E561" t="s">
        <v>20</v>
      </c>
      <c r="F561" t="s">
        <v>26</v>
      </c>
      <c r="G561">
        <v>30.37</v>
      </c>
      <c r="H561">
        <v>9</v>
      </c>
      <c r="I561">
        <v>426.16</v>
      </c>
      <c r="J561">
        <v>3</v>
      </c>
      <c r="K561">
        <v>277.06</v>
      </c>
    </row>
    <row r="562" spans="1:11" x14ac:dyDescent="0.3">
      <c r="A562" s="1">
        <v>45175</v>
      </c>
      <c r="B562" t="s">
        <v>23</v>
      </c>
      <c r="C562" t="s">
        <v>29</v>
      </c>
      <c r="D562" t="s">
        <v>13</v>
      </c>
      <c r="E562" t="s">
        <v>14</v>
      </c>
      <c r="F562" t="s">
        <v>16</v>
      </c>
      <c r="G562">
        <v>160.63</v>
      </c>
      <c r="H562">
        <v>8</v>
      </c>
      <c r="I562">
        <v>493.67</v>
      </c>
      <c r="J562">
        <v>2</v>
      </c>
      <c r="K562">
        <v>300.99</v>
      </c>
    </row>
    <row r="563" spans="1:11" x14ac:dyDescent="0.3">
      <c r="A563" s="1">
        <v>45010</v>
      </c>
      <c r="B563" t="s">
        <v>11</v>
      </c>
      <c r="C563" t="s">
        <v>12</v>
      </c>
      <c r="D563" t="s">
        <v>13</v>
      </c>
      <c r="E563" t="s">
        <v>14</v>
      </c>
      <c r="F563" t="s">
        <v>15</v>
      </c>
      <c r="G563">
        <v>41.47</v>
      </c>
      <c r="H563">
        <v>20</v>
      </c>
      <c r="I563">
        <v>1645.34</v>
      </c>
      <c r="J563">
        <v>1</v>
      </c>
      <c r="K563">
        <v>1581.5</v>
      </c>
    </row>
    <row r="564" spans="1:11" x14ac:dyDescent="0.3">
      <c r="A564" s="1">
        <v>45258</v>
      </c>
      <c r="B564" t="s">
        <v>23</v>
      </c>
      <c r="C564" t="s">
        <v>18</v>
      </c>
      <c r="D564" t="s">
        <v>25</v>
      </c>
      <c r="E564" t="s">
        <v>14</v>
      </c>
      <c r="F564" t="s">
        <v>26</v>
      </c>
      <c r="G564">
        <v>11.93</v>
      </c>
      <c r="H564">
        <v>6</v>
      </c>
      <c r="I564">
        <v>166.54</v>
      </c>
      <c r="J564">
        <v>3</v>
      </c>
      <c r="K564">
        <v>42.01</v>
      </c>
    </row>
    <row r="565" spans="1:11" x14ac:dyDescent="0.3">
      <c r="A565" s="1">
        <v>45025</v>
      </c>
      <c r="B565" t="s">
        <v>11</v>
      </c>
      <c r="C565" t="s">
        <v>29</v>
      </c>
      <c r="D565" t="s">
        <v>28</v>
      </c>
      <c r="E565" t="s">
        <v>20</v>
      </c>
      <c r="F565" t="s">
        <v>22</v>
      </c>
      <c r="G565">
        <v>63.03</v>
      </c>
      <c r="H565">
        <v>17</v>
      </c>
      <c r="I565">
        <v>283.60000000000002</v>
      </c>
      <c r="J565">
        <v>0</v>
      </c>
      <c r="K565">
        <v>220.57</v>
      </c>
    </row>
    <row r="566" spans="1:11" x14ac:dyDescent="0.3">
      <c r="A566" s="1">
        <v>45142</v>
      </c>
      <c r="B566" t="s">
        <v>17</v>
      </c>
      <c r="C566" t="s">
        <v>29</v>
      </c>
      <c r="D566" t="s">
        <v>25</v>
      </c>
      <c r="E566" t="s">
        <v>20</v>
      </c>
      <c r="F566" t="s">
        <v>16</v>
      </c>
      <c r="G566">
        <v>99.22</v>
      </c>
      <c r="H566">
        <v>10</v>
      </c>
      <c r="I566">
        <v>619.89</v>
      </c>
      <c r="J566">
        <v>1</v>
      </c>
      <c r="K566">
        <v>480.77</v>
      </c>
    </row>
    <row r="567" spans="1:11" x14ac:dyDescent="0.3">
      <c r="A567" s="1">
        <v>45127</v>
      </c>
      <c r="B567" t="s">
        <v>17</v>
      </c>
      <c r="C567" t="s">
        <v>12</v>
      </c>
      <c r="D567" t="s">
        <v>27</v>
      </c>
      <c r="E567" t="s">
        <v>14</v>
      </c>
      <c r="F567" t="s">
        <v>16</v>
      </c>
      <c r="G567">
        <v>57.33</v>
      </c>
      <c r="H567">
        <v>13</v>
      </c>
      <c r="I567">
        <v>945.9</v>
      </c>
      <c r="J567">
        <v>2</v>
      </c>
      <c r="K567">
        <v>873.7</v>
      </c>
    </row>
    <row r="568" spans="1:11" x14ac:dyDescent="0.3">
      <c r="A568" s="1">
        <v>45290</v>
      </c>
      <c r="B568" t="s">
        <v>21</v>
      </c>
      <c r="C568" t="s">
        <v>24</v>
      </c>
      <c r="D568" t="s">
        <v>13</v>
      </c>
      <c r="E568" t="s">
        <v>20</v>
      </c>
      <c r="F568" t="s">
        <v>15</v>
      </c>
      <c r="G568">
        <v>188.02</v>
      </c>
      <c r="H568">
        <v>3</v>
      </c>
      <c r="I568">
        <v>85.51</v>
      </c>
      <c r="J568">
        <v>2</v>
      </c>
      <c r="K568">
        <v>-136.86000000000001</v>
      </c>
    </row>
    <row r="569" spans="1:11" x14ac:dyDescent="0.3">
      <c r="A569" s="1">
        <v>45128</v>
      </c>
      <c r="B569" t="s">
        <v>17</v>
      </c>
      <c r="C569" t="s">
        <v>29</v>
      </c>
      <c r="D569" t="s">
        <v>13</v>
      </c>
      <c r="E569" t="s">
        <v>14</v>
      </c>
      <c r="F569" t="s">
        <v>22</v>
      </c>
      <c r="G569">
        <v>12.98</v>
      </c>
      <c r="H569">
        <v>7</v>
      </c>
      <c r="I569">
        <v>636.19000000000005</v>
      </c>
      <c r="J569">
        <v>1</v>
      </c>
      <c r="K569">
        <v>585.77</v>
      </c>
    </row>
    <row r="570" spans="1:11" x14ac:dyDescent="0.3">
      <c r="A570" s="1">
        <v>45263</v>
      </c>
      <c r="B570" t="s">
        <v>21</v>
      </c>
      <c r="C570" t="s">
        <v>29</v>
      </c>
      <c r="D570" t="s">
        <v>25</v>
      </c>
      <c r="E570" t="s">
        <v>14</v>
      </c>
      <c r="F570" t="s">
        <v>15</v>
      </c>
      <c r="G570">
        <v>117.34</v>
      </c>
      <c r="H570">
        <v>10</v>
      </c>
      <c r="I570">
        <v>556.52</v>
      </c>
      <c r="J570">
        <v>3</v>
      </c>
      <c r="K570">
        <v>303.07</v>
      </c>
    </row>
    <row r="571" spans="1:11" x14ac:dyDescent="0.3">
      <c r="A571" s="1">
        <v>45149</v>
      </c>
      <c r="B571" t="s">
        <v>17</v>
      </c>
      <c r="C571" t="s">
        <v>24</v>
      </c>
      <c r="D571" t="s">
        <v>25</v>
      </c>
      <c r="E571" t="s">
        <v>20</v>
      </c>
      <c r="F571" t="s">
        <v>16</v>
      </c>
      <c r="G571">
        <v>71.239999999999995</v>
      </c>
      <c r="H571">
        <v>17</v>
      </c>
      <c r="I571">
        <v>1147.8699999999999</v>
      </c>
      <c r="J571">
        <v>2</v>
      </c>
      <c r="K571">
        <v>1051.83</v>
      </c>
    </row>
    <row r="572" spans="1:11" x14ac:dyDescent="0.3">
      <c r="A572" s="1">
        <v>45184</v>
      </c>
      <c r="B572" t="s">
        <v>23</v>
      </c>
      <c r="C572" t="s">
        <v>24</v>
      </c>
      <c r="D572" t="s">
        <v>28</v>
      </c>
      <c r="E572" t="s">
        <v>20</v>
      </c>
      <c r="F572" t="s">
        <v>22</v>
      </c>
      <c r="G572">
        <v>157.02000000000001</v>
      </c>
      <c r="H572">
        <v>15</v>
      </c>
      <c r="I572">
        <v>1276.8800000000001</v>
      </c>
      <c r="J572">
        <v>0</v>
      </c>
      <c r="K572">
        <v>1119.8599999999999</v>
      </c>
    </row>
    <row r="573" spans="1:11" x14ac:dyDescent="0.3">
      <c r="A573" s="1">
        <v>45064</v>
      </c>
      <c r="B573" t="s">
        <v>11</v>
      </c>
      <c r="C573" t="s">
        <v>24</v>
      </c>
      <c r="D573" t="s">
        <v>25</v>
      </c>
      <c r="E573" t="s">
        <v>20</v>
      </c>
      <c r="F573" t="s">
        <v>15</v>
      </c>
      <c r="G573">
        <v>109.96</v>
      </c>
      <c r="H573">
        <v>12</v>
      </c>
      <c r="I573">
        <v>884.69</v>
      </c>
      <c r="J573">
        <v>2</v>
      </c>
      <c r="K573">
        <v>698.47</v>
      </c>
    </row>
    <row r="574" spans="1:11" x14ac:dyDescent="0.3">
      <c r="A574" s="1">
        <v>45169</v>
      </c>
      <c r="B574" t="s">
        <v>17</v>
      </c>
      <c r="C574" t="s">
        <v>24</v>
      </c>
      <c r="D574" t="s">
        <v>19</v>
      </c>
      <c r="E574" t="s">
        <v>14</v>
      </c>
      <c r="F574" t="s">
        <v>26</v>
      </c>
      <c r="G574">
        <v>81.95</v>
      </c>
      <c r="H574">
        <v>10</v>
      </c>
      <c r="I574">
        <v>932.57</v>
      </c>
      <c r="J574">
        <v>3</v>
      </c>
      <c r="K574">
        <v>819.44</v>
      </c>
    </row>
    <row r="575" spans="1:11" x14ac:dyDescent="0.3">
      <c r="A575" s="1">
        <v>45288</v>
      </c>
      <c r="B575" t="s">
        <v>21</v>
      </c>
      <c r="C575" t="s">
        <v>29</v>
      </c>
      <c r="D575" t="s">
        <v>27</v>
      </c>
      <c r="E575" t="s">
        <v>20</v>
      </c>
      <c r="F575" t="s">
        <v>26</v>
      </c>
      <c r="G575">
        <v>39.08</v>
      </c>
      <c r="H575">
        <v>5</v>
      </c>
      <c r="I575">
        <v>129.93</v>
      </c>
      <c r="J575">
        <v>0</v>
      </c>
      <c r="K575">
        <v>90.85</v>
      </c>
    </row>
    <row r="576" spans="1:11" x14ac:dyDescent="0.3">
      <c r="A576" s="1">
        <v>45219</v>
      </c>
      <c r="B576" t="s">
        <v>23</v>
      </c>
      <c r="C576" t="s">
        <v>24</v>
      </c>
      <c r="D576" t="s">
        <v>19</v>
      </c>
      <c r="E576" t="s">
        <v>14</v>
      </c>
      <c r="F576" t="s">
        <v>22</v>
      </c>
      <c r="G576">
        <v>57.89</v>
      </c>
      <c r="H576">
        <v>2</v>
      </c>
      <c r="I576">
        <v>54.77</v>
      </c>
      <c r="J576">
        <v>0</v>
      </c>
      <c r="K576">
        <v>-3.12</v>
      </c>
    </row>
    <row r="577" spans="1:11" x14ac:dyDescent="0.3">
      <c r="A577" s="1">
        <v>45163</v>
      </c>
      <c r="B577" t="s">
        <v>17</v>
      </c>
      <c r="C577" t="s">
        <v>24</v>
      </c>
      <c r="D577" t="s">
        <v>19</v>
      </c>
      <c r="E577" t="s">
        <v>14</v>
      </c>
      <c r="F577" t="s">
        <v>26</v>
      </c>
      <c r="G577">
        <v>18.25</v>
      </c>
      <c r="H577">
        <v>18</v>
      </c>
      <c r="I577">
        <v>1678</v>
      </c>
      <c r="J577">
        <v>2</v>
      </c>
      <c r="K577">
        <v>1646.61</v>
      </c>
    </row>
    <row r="578" spans="1:11" x14ac:dyDescent="0.3">
      <c r="A578" s="1">
        <v>45127</v>
      </c>
      <c r="B578" t="s">
        <v>17</v>
      </c>
      <c r="C578" t="s">
        <v>24</v>
      </c>
      <c r="D578" t="s">
        <v>27</v>
      </c>
      <c r="E578" t="s">
        <v>14</v>
      </c>
      <c r="F578" t="s">
        <v>16</v>
      </c>
      <c r="G578">
        <v>179.83</v>
      </c>
      <c r="H578">
        <v>14</v>
      </c>
      <c r="I578">
        <v>959.72</v>
      </c>
      <c r="J578">
        <v>2</v>
      </c>
      <c r="K578">
        <v>682.75</v>
      </c>
    </row>
    <row r="579" spans="1:11" x14ac:dyDescent="0.3">
      <c r="A579" s="1">
        <v>45245</v>
      </c>
      <c r="B579" t="s">
        <v>23</v>
      </c>
      <c r="C579" t="s">
        <v>12</v>
      </c>
      <c r="D579" t="s">
        <v>27</v>
      </c>
      <c r="E579" t="s">
        <v>20</v>
      </c>
      <c r="F579" t="s">
        <v>15</v>
      </c>
      <c r="G579">
        <v>127.19</v>
      </c>
      <c r="H579">
        <v>7</v>
      </c>
      <c r="I579">
        <v>193.06</v>
      </c>
      <c r="J579">
        <v>1</v>
      </c>
      <c r="K579">
        <v>22.52</v>
      </c>
    </row>
    <row r="580" spans="1:11" x14ac:dyDescent="0.3">
      <c r="A580" s="1">
        <v>45070</v>
      </c>
      <c r="B580" t="s">
        <v>11</v>
      </c>
      <c r="C580" t="s">
        <v>18</v>
      </c>
      <c r="D580" t="s">
        <v>28</v>
      </c>
      <c r="E580" t="s">
        <v>20</v>
      </c>
      <c r="F580" t="s">
        <v>15</v>
      </c>
      <c r="G580">
        <v>80.77</v>
      </c>
      <c r="H580">
        <v>7</v>
      </c>
      <c r="I580">
        <v>151.59</v>
      </c>
      <c r="J580">
        <v>3</v>
      </c>
      <c r="K580">
        <v>10.78</v>
      </c>
    </row>
    <row r="581" spans="1:11" x14ac:dyDescent="0.3">
      <c r="A581" s="1">
        <v>45221</v>
      </c>
      <c r="B581" t="s">
        <v>23</v>
      </c>
      <c r="C581" t="s">
        <v>12</v>
      </c>
      <c r="D581" t="s">
        <v>27</v>
      </c>
      <c r="E581" t="s">
        <v>20</v>
      </c>
      <c r="F581" t="s">
        <v>16</v>
      </c>
      <c r="G581">
        <v>100.41</v>
      </c>
      <c r="H581">
        <v>14</v>
      </c>
      <c r="I581">
        <v>715.56</v>
      </c>
      <c r="J581">
        <v>0</v>
      </c>
      <c r="K581">
        <v>615.15</v>
      </c>
    </row>
    <row r="582" spans="1:11" x14ac:dyDescent="0.3">
      <c r="A582" s="1">
        <v>45215</v>
      </c>
      <c r="B582" t="s">
        <v>23</v>
      </c>
      <c r="C582" t="s">
        <v>29</v>
      </c>
      <c r="D582" t="s">
        <v>19</v>
      </c>
      <c r="E582" t="s">
        <v>14</v>
      </c>
      <c r="F582" t="s">
        <v>26</v>
      </c>
      <c r="G582">
        <v>199.41</v>
      </c>
      <c r="H582">
        <v>12</v>
      </c>
      <c r="I582">
        <v>933.39</v>
      </c>
      <c r="J582">
        <v>2</v>
      </c>
      <c r="K582">
        <v>640.89</v>
      </c>
    </row>
    <row r="583" spans="1:11" x14ac:dyDescent="0.3">
      <c r="A583" s="1">
        <v>45257</v>
      </c>
      <c r="B583" t="s">
        <v>23</v>
      </c>
      <c r="C583" t="s">
        <v>12</v>
      </c>
      <c r="D583" t="s">
        <v>28</v>
      </c>
      <c r="E583" t="s">
        <v>14</v>
      </c>
      <c r="F583" t="s">
        <v>22</v>
      </c>
      <c r="G583">
        <v>130.47999999999999</v>
      </c>
      <c r="H583">
        <v>14</v>
      </c>
      <c r="I583">
        <v>804.59</v>
      </c>
      <c r="J583">
        <v>2</v>
      </c>
      <c r="K583">
        <v>630.84</v>
      </c>
    </row>
    <row r="584" spans="1:11" x14ac:dyDescent="0.3">
      <c r="A584" s="1">
        <v>44988</v>
      </c>
      <c r="B584" t="s">
        <v>11</v>
      </c>
      <c r="C584" t="s">
        <v>12</v>
      </c>
      <c r="D584" t="s">
        <v>25</v>
      </c>
      <c r="E584" t="s">
        <v>20</v>
      </c>
      <c r="F584" t="s">
        <v>26</v>
      </c>
      <c r="G584">
        <v>196.54</v>
      </c>
      <c r="H584">
        <v>15</v>
      </c>
      <c r="I584">
        <v>1141.19</v>
      </c>
      <c r="J584">
        <v>1</v>
      </c>
      <c r="K584">
        <v>895.36</v>
      </c>
    </row>
    <row r="585" spans="1:11" x14ac:dyDescent="0.3">
      <c r="A585" s="1">
        <v>45129</v>
      </c>
      <c r="B585" t="s">
        <v>17</v>
      </c>
      <c r="C585" t="s">
        <v>18</v>
      </c>
      <c r="D585" t="s">
        <v>25</v>
      </c>
      <c r="E585" t="s">
        <v>20</v>
      </c>
      <c r="F585" t="s">
        <v>22</v>
      </c>
      <c r="G585">
        <v>149.47999999999999</v>
      </c>
      <c r="H585">
        <v>20</v>
      </c>
      <c r="I585">
        <v>398.21</v>
      </c>
      <c r="J585">
        <v>0</v>
      </c>
      <c r="K585">
        <v>248.73</v>
      </c>
    </row>
    <row r="586" spans="1:11" x14ac:dyDescent="0.3">
      <c r="A586" s="1">
        <v>45051</v>
      </c>
      <c r="B586" t="s">
        <v>11</v>
      </c>
      <c r="C586" t="s">
        <v>24</v>
      </c>
      <c r="D586" t="s">
        <v>13</v>
      </c>
      <c r="E586" t="s">
        <v>20</v>
      </c>
      <c r="F586" t="s">
        <v>16</v>
      </c>
      <c r="G586">
        <v>33.75</v>
      </c>
      <c r="H586">
        <v>2</v>
      </c>
      <c r="I586">
        <v>102.61</v>
      </c>
      <c r="J586">
        <v>2</v>
      </c>
      <c r="K586">
        <v>9.42</v>
      </c>
    </row>
    <row r="587" spans="1:11" x14ac:dyDescent="0.3">
      <c r="A587" s="1">
        <v>45008</v>
      </c>
      <c r="B587" t="s">
        <v>11</v>
      </c>
      <c r="C587" t="s">
        <v>12</v>
      </c>
      <c r="D587" t="s">
        <v>13</v>
      </c>
      <c r="E587" t="s">
        <v>14</v>
      </c>
      <c r="F587" t="s">
        <v>26</v>
      </c>
      <c r="G587">
        <v>31.98</v>
      </c>
      <c r="H587">
        <v>6</v>
      </c>
      <c r="I587">
        <v>197.29</v>
      </c>
      <c r="J587">
        <v>1</v>
      </c>
      <c r="K587">
        <v>160.27000000000001</v>
      </c>
    </row>
    <row r="588" spans="1:11" x14ac:dyDescent="0.3">
      <c r="A588" s="1">
        <v>45069</v>
      </c>
      <c r="B588" t="s">
        <v>11</v>
      </c>
      <c r="C588" t="s">
        <v>18</v>
      </c>
      <c r="D588" t="s">
        <v>28</v>
      </c>
      <c r="E588" t="s">
        <v>20</v>
      </c>
      <c r="F588" t="s">
        <v>22</v>
      </c>
      <c r="G588">
        <v>98.62</v>
      </c>
      <c r="H588">
        <v>19</v>
      </c>
      <c r="I588">
        <v>1785.18</v>
      </c>
      <c r="J588">
        <v>2</v>
      </c>
      <c r="K588">
        <v>1638.67</v>
      </c>
    </row>
    <row r="589" spans="1:11" x14ac:dyDescent="0.3">
      <c r="A589" s="1">
        <v>45029</v>
      </c>
      <c r="B589" t="s">
        <v>11</v>
      </c>
      <c r="C589" t="s">
        <v>24</v>
      </c>
      <c r="D589" t="s">
        <v>25</v>
      </c>
      <c r="E589" t="s">
        <v>20</v>
      </c>
      <c r="F589" t="s">
        <v>26</v>
      </c>
      <c r="G589">
        <v>59.21</v>
      </c>
      <c r="H589">
        <v>14</v>
      </c>
      <c r="I589">
        <v>925.7</v>
      </c>
      <c r="J589">
        <v>2</v>
      </c>
      <c r="K589">
        <v>830.17</v>
      </c>
    </row>
    <row r="590" spans="1:11" x14ac:dyDescent="0.3">
      <c r="A590" s="1">
        <v>45119</v>
      </c>
      <c r="B590" t="s">
        <v>17</v>
      </c>
      <c r="C590" t="s">
        <v>29</v>
      </c>
      <c r="D590" t="s">
        <v>28</v>
      </c>
      <c r="E590" t="s">
        <v>20</v>
      </c>
      <c r="F590" t="s">
        <v>26</v>
      </c>
      <c r="G590">
        <v>95.99</v>
      </c>
      <c r="H590">
        <v>18</v>
      </c>
      <c r="I590">
        <v>1293.55</v>
      </c>
      <c r="J590">
        <v>0</v>
      </c>
      <c r="K590">
        <v>1197.56</v>
      </c>
    </row>
    <row r="591" spans="1:11" x14ac:dyDescent="0.3">
      <c r="A591" s="1">
        <v>44939</v>
      </c>
      <c r="B591" t="s">
        <v>21</v>
      </c>
      <c r="C591" t="s">
        <v>29</v>
      </c>
      <c r="D591" t="s">
        <v>28</v>
      </c>
      <c r="E591" t="s">
        <v>14</v>
      </c>
      <c r="F591" t="s">
        <v>16</v>
      </c>
      <c r="G591">
        <v>37.17</v>
      </c>
      <c r="H591">
        <v>9</v>
      </c>
      <c r="I591">
        <v>851</v>
      </c>
      <c r="J591">
        <v>0</v>
      </c>
      <c r="K591">
        <v>813.83</v>
      </c>
    </row>
    <row r="592" spans="1:11" x14ac:dyDescent="0.3">
      <c r="A592" s="1">
        <v>45289</v>
      </c>
      <c r="B592" t="s">
        <v>21</v>
      </c>
      <c r="C592" t="s">
        <v>18</v>
      </c>
      <c r="D592" t="s">
        <v>13</v>
      </c>
      <c r="E592" t="s">
        <v>20</v>
      </c>
      <c r="F592" t="s">
        <v>22</v>
      </c>
      <c r="G592">
        <v>195.75</v>
      </c>
      <c r="H592">
        <v>13</v>
      </c>
      <c r="I592">
        <v>944.01</v>
      </c>
      <c r="J592">
        <v>0</v>
      </c>
      <c r="K592">
        <v>748.26</v>
      </c>
    </row>
    <row r="593" spans="1:11" x14ac:dyDescent="0.3">
      <c r="A593" s="1">
        <v>45222</v>
      </c>
      <c r="B593" t="s">
        <v>23</v>
      </c>
      <c r="C593" t="s">
        <v>12</v>
      </c>
      <c r="D593" t="s">
        <v>28</v>
      </c>
      <c r="E593" t="s">
        <v>14</v>
      </c>
      <c r="F593" t="s">
        <v>26</v>
      </c>
      <c r="G593">
        <v>194.25</v>
      </c>
      <c r="H593">
        <v>17</v>
      </c>
      <c r="I593">
        <v>197.61</v>
      </c>
      <c r="J593">
        <v>3</v>
      </c>
      <c r="K593">
        <v>-55.13</v>
      </c>
    </row>
    <row r="594" spans="1:11" x14ac:dyDescent="0.3">
      <c r="A594" s="1">
        <v>44955</v>
      </c>
      <c r="B594" t="s">
        <v>21</v>
      </c>
      <c r="C594" t="s">
        <v>24</v>
      </c>
      <c r="D594" t="s">
        <v>27</v>
      </c>
      <c r="E594" t="s">
        <v>20</v>
      </c>
      <c r="F594" t="s">
        <v>22</v>
      </c>
      <c r="G594">
        <v>161.78</v>
      </c>
      <c r="H594">
        <v>15</v>
      </c>
      <c r="I594">
        <v>521.69000000000005</v>
      </c>
      <c r="J594">
        <v>3</v>
      </c>
      <c r="K594">
        <v>318.44</v>
      </c>
    </row>
    <row r="595" spans="1:11" x14ac:dyDescent="0.3">
      <c r="A595" s="1">
        <v>44956</v>
      </c>
      <c r="B595" t="s">
        <v>21</v>
      </c>
      <c r="C595" t="s">
        <v>12</v>
      </c>
      <c r="D595" t="s">
        <v>19</v>
      </c>
      <c r="E595" t="s">
        <v>20</v>
      </c>
      <c r="F595" t="s">
        <v>22</v>
      </c>
      <c r="G595">
        <v>33.520000000000003</v>
      </c>
      <c r="H595">
        <v>11</v>
      </c>
      <c r="I595">
        <v>1037.92</v>
      </c>
      <c r="J595">
        <v>1</v>
      </c>
      <c r="K595">
        <v>960.59</v>
      </c>
    </row>
    <row r="596" spans="1:11" x14ac:dyDescent="0.3">
      <c r="A596" s="1">
        <v>45019</v>
      </c>
      <c r="B596" t="s">
        <v>11</v>
      </c>
      <c r="C596" t="s">
        <v>29</v>
      </c>
      <c r="D596" t="s">
        <v>19</v>
      </c>
      <c r="E596" t="s">
        <v>14</v>
      </c>
      <c r="F596" t="s">
        <v>16</v>
      </c>
      <c r="G596">
        <v>28.18</v>
      </c>
      <c r="H596">
        <v>19</v>
      </c>
      <c r="I596">
        <v>1883.5</v>
      </c>
      <c r="J596">
        <v>2</v>
      </c>
      <c r="K596">
        <v>1786.03</v>
      </c>
    </row>
    <row r="597" spans="1:11" x14ac:dyDescent="0.3">
      <c r="A597" s="1">
        <v>45234</v>
      </c>
      <c r="B597" t="s">
        <v>23</v>
      </c>
      <c r="C597" t="s">
        <v>18</v>
      </c>
      <c r="D597" t="s">
        <v>25</v>
      </c>
      <c r="E597" t="s">
        <v>14</v>
      </c>
      <c r="F597" t="s">
        <v>26</v>
      </c>
      <c r="G597">
        <v>48.65</v>
      </c>
      <c r="H597">
        <v>17</v>
      </c>
      <c r="I597">
        <v>635.79</v>
      </c>
      <c r="J597">
        <v>3</v>
      </c>
      <c r="K597">
        <v>525.6</v>
      </c>
    </row>
    <row r="598" spans="1:11" x14ac:dyDescent="0.3">
      <c r="A598" s="1">
        <v>45040</v>
      </c>
      <c r="B598" t="s">
        <v>11</v>
      </c>
      <c r="C598" t="s">
        <v>18</v>
      </c>
      <c r="D598" t="s">
        <v>19</v>
      </c>
      <c r="E598" t="s">
        <v>20</v>
      </c>
      <c r="F598" t="s">
        <v>26</v>
      </c>
      <c r="G598">
        <v>48.51</v>
      </c>
      <c r="H598">
        <v>17</v>
      </c>
      <c r="I598">
        <v>186.65</v>
      </c>
      <c r="J598">
        <v>2</v>
      </c>
      <c r="K598">
        <v>107.62</v>
      </c>
    </row>
    <row r="599" spans="1:11" x14ac:dyDescent="0.3">
      <c r="A599" s="1">
        <v>44992</v>
      </c>
      <c r="B599" t="s">
        <v>11</v>
      </c>
      <c r="C599" t="s">
        <v>12</v>
      </c>
      <c r="D599" t="s">
        <v>19</v>
      </c>
      <c r="E599" t="s">
        <v>14</v>
      </c>
      <c r="F599" t="s">
        <v>15</v>
      </c>
      <c r="G599">
        <v>30.36</v>
      </c>
      <c r="H599">
        <v>5</v>
      </c>
      <c r="I599">
        <v>478.14</v>
      </c>
      <c r="J599">
        <v>0</v>
      </c>
      <c r="K599">
        <v>447.78</v>
      </c>
    </row>
    <row r="600" spans="1:11" x14ac:dyDescent="0.3">
      <c r="A600" s="1">
        <v>45194</v>
      </c>
      <c r="B600" t="s">
        <v>23</v>
      </c>
      <c r="C600" t="s">
        <v>29</v>
      </c>
      <c r="D600" t="s">
        <v>25</v>
      </c>
      <c r="E600" t="s">
        <v>14</v>
      </c>
      <c r="F600" t="s">
        <v>15</v>
      </c>
      <c r="G600">
        <v>68.27</v>
      </c>
      <c r="H600">
        <v>3</v>
      </c>
      <c r="I600">
        <v>153.47</v>
      </c>
      <c r="J600">
        <v>2</v>
      </c>
      <c r="K600">
        <v>33.96</v>
      </c>
    </row>
    <row r="601" spans="1:11" x14ac:dyDescent="0.3">
      <c r="A601" s="1">
        <v>45260</v>
      </c>
      <c r="B601" t="s">
        <v>23</v>
      </c>
      <c r="C601" t="s">
        <v>29</v>
      </c>
      <c r="D601" t="s">
        <v>25</v>
      </c>
      <c r="E601" t="s">
        <v>14</v>
      </c>
      <c r="F601" t="s">
        <v>15</v>
      </c>
      <c r="G601">
        <v>159.22999999999999</v>
      </c>
      <c r="H601">
        <v>11</v>
      </c>
      <c r="I601">
        <v>1013.94</v>
      </c>
      <c r="J601">
        <v>2</v>
      </c>
      <c r="K601">
        <v>757.61</v>
      </c>
    </row>
    <row r="602" spans="1:11" x14ac:dyDescent="0.3">
      <c r="A602" s="1">
        <v>45223</v>
      </c>
      <c r="B602" t="s">
        <v>23</v>
      </c>
      <c r="C602" t="s">
        <v>24</v>
      </c>
      <c r="D602" t="s">
        <v>25</v>
      </c>
      <c r="E602" t="s">
        <v>14</v>
      </c>
      <c r="F602" t="s">
        <v>16</v>
      </c>
      <c r="G602">
        <v>96.79</v>
      </c>
      <c r="H602">
        <v>18</v>
      </c>
      <c r="I602">
        <v>1114.8800000000001</v>
      </c>
      <c r="J602">
        <v>2</v>
      </c>
      <c r="K602">
        <v>936.88</v>
      </c>
    </row>
    <row r="603" spans="1:11" x14ac:dyDescent="0.3">
      <c r="A603" s="1">
        <v>44930</v>
      </c>
      <c r="B603" t="s">
        <v>21</v>
      </c>
      <c r="C603" t="s">
        <v>18</v>
      </c>
      <c r="D603" t="s">
        <v>19</v>
      </c>
      <c r="E603" t="s">
        <v>20</v>
      </c>
      <c r="F603" t="s">
        <v>16</v>
      </c>
      <c r="G603">
        <v>164.43</v>
      </c>
      <c r="H603">
        <v>3</v>
      </c>
      <c r="I603">
        <v>180.89</v>
      </c>
      <c r="J603">
        <v>1</v>
      </c>
      <c r="K603">
        <v>-13.53</v>
      </c>
    </row>
    <row r="604" spans="1:11" x14ac:dyDescent="0.3">
      <c r="A604" s="1">
        <v>45018</v>
      </c>
      <c r="B604" t="s">
        <v>11</v>
      </c>
      <c r="C604" t="s">
        <v>29</v>
      </c>
      <c r="D604" t="s">
        <v>13</v>
      </c>
      <c r="E604" t="s">
        <v>14</v>
      </c>
      <c r="F604" t="s">
        <v>26</v>
      </c>
      <c r="G604">
        <v>119.32</v>
      </c>
      <c r="H604">
        <v>11</v>
      </c>
      <c r="I604">
        <v>170.9</v>
      </c>
      <c r="J604">
        <v>2</v>
      </c>
      <c r="K604">
        <v>36.380000000000003</v>
      </c>
    </row>
    <row r="605" spans="1:11" x14ac:dyDescent="0.3">
      <c r="A605" s="1">
        <v>45155</v>
      </c>
      <c r="B605" t="s">
        <v>17</v>
      </c>
      <c r="C605" t="s">
        <v>24</v>
      </c>
      <c r="D605" t="s">
        <v>28</v>
      </c>
      <c r="E605" t="s">
        <v>20</v>
      </c>
      <c r="F605" t="s">
        <v>26</v>
      </c>
      <c r="G605">
        <v>26.95</v>
      </c>
      <c r="H605">
        <v>2</v>
      </c>
      <c r="I605">
        <v>120.94</v>
      </c>
      <c r="J605">
        <v>2</v>
      </c>
      <c r="K605">
        <v>16.28</v>
      </c>
    </row>
    <row r="606" spans="1:11" x14ac:dyDescent="0.3">
      <c r="A606" s="1">
        <v>45067</v>
      </c>
      <c r="B606" t="s">
        <v>11</v>
      </c>
      <c r="C606" t="s">
        <v>12</v>
      </c>
      <c r="D606" t="s">
        <v>27</v>
      </c>
      <c r="E606" t="s">
        <v>14</v>
      </c>
      <c r="F606" t="s">
        <v>15</v>
      </c>
      <c r="G606">
        <v>48.69</v>
      </c>
      <c r="H606">
        <v>12</v>
      </c>
      <c r="I606">
        <v>901.91</v>
      </c>
      <c r="J606">
        <v>3</v>
      </c>
      <c r="K606">
        <v>776.61</v>
      </c>
    </row>
    <row r="607" spans="1:11" x14ac:dyDescent="0.3">
      <c r="A607" s="1">
        <v>44930</v>
      </c>
      <c r="B607" t="s">
        <v>21</v>
      </c>
      <c r="C607" t="s">
        <v>24</v>
      </c>
      <c r="D607" t="s">
        <v>28</v>
      </c>
      <c r="E607" t="s">
        <v>20</v>
      </c>
      <c r="F607" t="s">
        <v>15</v>
      </c>
      <c r="G607">
        <v>171.73</v>
      </c>
      <c r="H607">
        <v>16</v>
      </c>
      <c r="I607">
        <v>1293.97</v>
      </c>
      <c r="J607">
        <v>1</v>
      </c>
      <c r="K607">
        <v>1089.78</v>
      </c>
    </row>
    <row r="608" spans="1:11" x14ac:dyDescent="0.3">
      <c r="A608" s="1">
        <v>45262</v>
      </c>
      <c r="B608" t="s">
        <v>21</v>
      </c>
      <c r="C608" t="s">
        <v>12</v>
      </c>
      <c r="D608" t="s">
        <v>13</v>
      </c>
      <c r="E608" t="s">
        <v>20</v>
      </c>
      <c r="F608" t="s">
        <v>15</v>
      </c>
      <c r="G608">
        <v>48.13</v>
      </c>
      <c r="H608">
        <v>3</v>
      </c>
      <c r="I608">
        <v>155.97</v>
      </c>
      <c r="J608">
        <v>2</v>
      </c>
      <c r="K608">
        <v>59.7</v>
      </c>
    </row>
    <row r="609" spans="1:11" x14ac:dyDescent="0.3">
      <c r="A609" s="1">
        <v>45276</v>
      </c>
      <c r="B609" t="s">
        <v>21</v>
      </c>
      <c r="C609" t="s">
        <v>24</v>
      </c>
      <c r="D609" t="s">
        <v>13</v>
      </c>
      <c r="E609" t="s">
        <v>20</v>
      </c>
      <c r="F609" t="s">
        <v>15</v>
      </c>
      <c r="G609">
        <v>98.18</v>
      </c>
      <c r="H609">
        <v>1</v>
      </c>
      <c r="I609">
        <v>92.98</v>
      </c>
      <c r="J609">
        <v>1</v>
      </c>
      <c r="K609">
        <v>-51.41</v>
      </c>
    </row>
    <row r="610" spans="1:11" x14ac:dyDescent="0.3">
      <c r="A610" s="1">
        <v>45082</v>
      </c>
      <c r="B610" t="s">
        <v>17</v>
      </c>
      <c r="C610" t="s">
        <v>12</v>
      </c>
      <c r="D610" t="s">
        <v>19</v>
      </c>
      <c r="E610" t="s">
        <v>14</v>
      </c>
      <c r="F610" t="s">
        <v>15</v>
      </c>
      <c r="G610">
        <v>146.94</v>
      </c>
      <c r="H610">
        <v>4</v>
      </c>
      <c r="I610">
        <v>61.27</v>
      </c>
      <c r="J610">
        <v>0</v>
      </c>
      <c r="K610">
        <v>-85.67</v>
      </c>
    </row>
    <row r="611" spans="1:11" x14ac:dyDescent="0.3">
      <c r="A611" s="1">
        <v>45033</v>
      </c>
      <c r="B611" t="s">
        <v>11</v>
      </c>
      <c r="C611" t="s">
        <v>24</v>
      </c>
      <c r="D611" t="s">
        <v>19</v>
      </c>
      <c r="E611" t="s">
        <v>14</v>
      </c>
      <c r="F611" t="s">
        <v>26</v>
      </c>
      <c r="G611">
        <v>143.84</v>
      </c>
      <c r="H611">
        <v>18</v>
      </c>
      <c r="I611">
        <v>841.21</v>
      </c>
      <c r="J611">
        <v>0</v>
      </c>
      <c r="K611">
        <v>697.37</v>
      </c>
    </row>
    <row r="612" spans="1:11" x14ac:dyDescent="0.3">
      <c r="A612" s="1">
        <v>45285</v>
      </c>
      <c r="B612" t="s">
        <v>21</v>
      </c>
      <c r="C612" t="s">
        <v>12</v>
      </c>
      <c r="D612" t="s">
        <v>27</v>
      </c>
      <c r="E612" t="s">
        <v>14</v>
      </c>
      <c r="F612" t="s">
        <v>22</v>
      </c>
      <c r="G612">
        <v>178.72</v>
      </c>
      <c r="H612">
        <v>5</v>
      </c>
      <c r="I612">
        <v>318.81</v>
      </c>
      <c r="J612">
        <v>0</v>
      </c>
      <c r="K612">
        <v>140.09</v>
      </c>
    </row>
    <row r="613" spans="1:11" x14ac:dyDescent="0.3">
      <c r="A613" s="1">
        <v>45094</v>
      </c>
      <c r="B613" t="s">
        <v>17</v>
      </c>
      <c r="C613" t="s">
        <v>24</v>
      </c>
      <c r="D613" t="s">
        <v>25</v>
      </c>
      <c r="E613" t="s">
        <v>20</v>
      </c>
      <c r="F613" t="s">
        <v>22</v>
      </c>
      <c r="G613">
        <v>19.309999999999999</v>
      </c>
      <c r="H613">
        <v>14</v>
      </c>
      <c r="I613">
        <v>436.93</v>
      </c>
      <c r="J613">
        <v>3</v>
      </c>
      <c r="K613">
        <v>328.67</v>
      </c>
    </row>
    <row r="614" spans="1:11" x14ac:dyDescent="0.3">
      <c r="A614" s="1">
        <v>44966</v>
      </c>
      <c r="B614" t="s">
        <v>21</v>
      </c>
      <c r="C614" t="s">
        <v>24</v>
      </c>
      <c r="D614" t="s">
        <v>19</v>
      </c>
      <c r="E614" t="s">
        <v>14</v>
      </c>
      <c r="F614" t="s">
        <v>26</v>
      </c>
      <c r="G614">
        <v>18.62</v>
      </c>
      <c r="H614">
        <v>19</v>
      </c>
      <c r="I614">
        <v>867.69</v>
      </c>
      <c r="J614">
        <v>2</v>
      </c>
      <c r="K614">
        <v>775.53</v>
      </c>
    </row>
    <row r="615" spans="1:11" x14ac:dyDescent="0.3">
      <c r="A615" s="1">
        <v>45137</v>
      </c>
      <c r="B615" t="s">
        <v>17</v>
      </c>
      <c r="C615" t="s">
        <v>12</v>
      </c>
      <c r="D615" t="s">
        <v>25</v>
      </c>
      <c r="E615" t="s">
        <v>20</v>
      </c>
      <c r="F615" t="s">
        <v>22</v>
      </c>
      <c r="G615">
        <v>15.73</v>
      </c>
      <c r="H615">
        <v>1</v>
      </c>
      <c r="I615">
        <v>56.25</v>
      </c>
      <c r="J615">
        <v>0</v>
      </c>
      <c r="K615">
        <v>40.520000000000003</v>
      </c>
    </row>
    <row r="616" spans="1:11" x14ac:dyDescent="0.3">
      <c r="A616" s="1">
        <v>44940</v>
      </c>
      <c r="B616" t="s">
        <v>21</v>
      </c>
      <c r="C616" t="s">
        <v>24</v>
      </c>
      <c r="D616" t="s">
        <v>28</v>
      </c>
      <c r="E616" t="s">
        <v>14</v>
      </c>
      <c r="F616" t="s">
        <v>15</v>
      </c>
      <c r="G616">
        <v>175.64</v>
      </c>
      <c r="H616">
        <v>8</v>
      </c>
      <c r="I616">
        <v>356.92</v>
      </c>
      <c r="J616">
        <v>2</v>
      </c>
      <c r="K616">
        <v>107.97</v>
      </c>
    </row>
    <row r="617" spans="1:11" x14ac:dyDescent="0.3">
      <c r="A617" s="1">
        <v>45124</v>
      </c>
      <c r="B617" t="s">
        <v>17</v>
      </c>
      <c r="C617" t="s">
        <v>24</v>
      </c>
      <c r="D617" t="s">
        <v>25</v>
      </c>
      <c r="E617" t="s">
        <v>20</v>
      </c>
      <c r="F617" t="s">
        <v>15</v>
      </c>
      <c r="G617">
        <v>115.12</v>
      </c>
      <c r="H617">
        <v>9</v>
      </c>
      <c r="I617">
        <v>440.65</v>
      </c>
      <c r="J617">
        <v>3</v>
      </c>
      <c r="K617">
        <v>231.25</v>
      </c>
    </row>
    <row r="618" spans="1:11" x14ac:dyDescent="0.3">
      <c r="A618" s="1">
        <v>44983</v>
      </c>
      <c r="B618" t="s">
        <v>21</v>
      </c>
      <c r="C618" t="s">
        <v>29</v>
      </c>
      <c r="D618" t="s">
        <v>25</v>
      </c>
      <c r="E618" t="s">
        <v>20</v>
      </c>
      <c r="F618" t="s">
        <v>26</v>
      </c>
      <c r="G618">
        <v>14.49</v>
      </c>
      <c r="H618">
        <v>19</v>
      </c>
      <c r="I618">
        <v>1038.31</v>
      </c>
      <c r="J618">
        <v>1</v>
      </c>
      <c r="K618">
        <v>976.03</v>
      </c>
    </row>
    <row r="619" spans="1:11" x14ac:dyDescent="0.3">
      <c r="A619" s="1">
        <v>45048</v>
      </c>
      <c r="B619" t="s">
        <v>11</v>
      </c>
      <c r="C619" t="s">
        <v>29</v>
      </c>
      <c r="D619" t="s">
        <v>27</v>
      </c>
      <c r="E619" t="s">
        <v>20</v>
      </c>
      <c r="F619" t="s">
        <v>15</v>
      </c>
      <c r="G619">
        <v>43.58</v>
      </c>
      <c r="H619">
        <v>8</v>
      </c>
      <c r="I619">
        <v>159.16999999999999</v>
      </c>
      <c r="J619">
        <v>0</v>
      </c>
      <c r="K619">
        <v>115.59</v>
      </c>
    </row>
    <row r="620" spans="1:11" x14ac:dyDescent="0.3">
      <c r="A620" s="1">
        <v>45254</v>
      </c>
      <c r="B620" t="s">
        <v>23</v>
      </c>
      <c r="C620" t="s">
        <v>12</v>
      </c>
      <c r="D620" t="s">
        <v>25</v>
      </c>
      <c r="E620" t="s">
        <v>14</v>
      </c>
      <c r="F620" t="s">
        <v>22</v>
      </c>
      <c r="G620">
        <v>112.37</v>
      </c>
      <c r="H620">
        <v>4</v>
      </c>
      <c r="I620">
        <v>291.79000000000002</v>
      </c>
      <c r="J620">
        <v>2</v>
      </c>
      <c r="K620">
        <v>80.12</v>
      </c>
    </row>
    <row r="621" spans="1:11" x14ac:dyDescent="0.3">
      <c r="A621" s="1">
        <v>45130</v>
      </c>
      <c r="B621" t="s">
        <v>17</v>
      </c>
      <c r="C621" t="s">
        <v>18</v>
      </c>
      <c r="D621" t="s">
        <v>28</v>
      </c>
      <c r="E621" t="s">
        <v>20</v>
      </c>
      <c r="F621" t="s">
        <v>16</v>
      </c>
      <c r="G621">
        <v>196.58</v>
      </c>
      <c r="H621">
        <v>4</v>
      </c>
      <c r="I621">
        <v>344.24</v>
      </c>
      <c r="J621">
        <v>0</v>
      </c>
      <c r="K621">
        <v>147.66</v>
      </c>
    </row>
    <row r="622" spans="1:11" x14ac:dyDescent="0.3">
      <c r="A622" s="1">
        <v>45109</v>
      </c>
      <c r="B622" t="s">
        <v>17</v>
      </c>
      <c r="C622" t="s">
        <v>18</v>
      </c>
      <c r="D622" t="s">
        <v>13</v>
      </c>
      <c r="E622" t="s">
        <v>14</v>
      </c>
      <c r="F622" t="s">
        <v>16</v>
      </c>
      <c r="G622">
        <v>165.42</v>
      </c>
      <c r="H622">
        <v>20</v>
      </c>
      <c r="I622">
        <v>1697.19</v>
      </c>
      <c r="J622">
        <v>2</v>
      </c>
      <c r="K622">
        <v>1486.96</v>
      </c>
    </row>
    <row r="623" spans="1:11" x14ac:dyDescent="0.3">
      <c r="A623" s="1">
        <v>45268</v>
      </c>
      <c r="B623" t="s">
        <v>21</v>
      </c>
      <c r="C623" t="s">
        <v>12</v>
      </c>
      <c r="D623" t="s">
        <v>25</v>
      </c>
      <c r="E623" t="s">
        <v>14</v>
      </c>
      <c r="F623" t="s">
        <v>22</v>
      </c>
      <c r="G623">
        <v>193.52</v>
      </c>
      <c r="H623">
        <v>20</v>
      </c>
      <c r="I623">
        <v>1199.45</v>
      </c>
      <c r="J623">
        <v>3</v>
      </c>
      <c r="K623">
        <v>978.87</v>
      </c>
    </row>
    <row r="624" spans="1:11" x14ac:dyDescent="0.3">
      <c r="A624" s="1">
        <v>45083</v>
      </c>
      <c r="B624" t="s">
        <v>17</v>
      </c>
      <c r="C624" t="s">
        <v>24</v>
      </c>
      <c r="D624" t="s">
        <v>19</v>
      </c>
      <c r="E624" t="s">
        <v>14</v>
      </c>
      <c r="F624" t="s">
        <v>22</v>
      </c>
      <c r="G624">
        <v>17.41</v>
      </c>
      <c r="H624">
        <v>14</v>
      </c>
      <c r="I624">
        <v>492.05</v>
      </c>
      <c r="J624">
        <v>2</v>
      </c>
      <c r="K624">
        <v>412.1</v>
      </c>
    </row>
    <row r="625" spans="1:11" x14ac:dyDescent="0.3">
      <c r="A625" s="1">
        <v>45058</v>
      </c>
      <c r="B625" t="s">
        <v>11</v>
      </c>
      <c r="C625" t="s">
        <v>24</v>
      </c>
      <c r="D625" t="s">
        <v>28</v>
      </c>
      <c r="E625" t="s">
        <v>14</v>
      </c>
      <c r="F625" t="s">
        <v>15</v>
      </c>
      <c r="G625">
        <v>16.11</v>
      </c>
      <c r="H625">
        <v>19</v>
      </c>
      <c r="I625">
        <v>1467.99</v>
      </c>
      <c r="J625">
        <v>2</v>
      </c>
      <c r="K625">
        <v>1388.32</v>
      </c>
    </row>
    <row r="626" spans="1:11" x14ac:dyDescent="0.3">
      <c r="A626" s="1">
        <v>45133</v>
      </c>
      <c r="B626" t="s">
        <v>17</v>
      </c>
      <c r="C626" t="s">
        <v>12</v>
      </c>
      <c r="D626" t="s">
        <v>13</v>
      </c>
      <c r="E626" t="s">
        <v>20</v>
      </c>
      <c r="F626" t="s">
        <v>26</v>
      </c>
      <c r="G626">
        <v>135.15</v>
      </c>
      <c r="H626">
        <v>2</v>
      </c>
      <c r="I626">
        <v>183.04</v>
      </c>
      <c r="J626">
        <v>1</v>
      </c>
      <c r="K626">
        <v>27.72</v>
      </c>
    </row>
    <row r="627" spans="1:11" x14ac:dyDescent="0.3">
      <c r="A627" s="1">
        <v>45191</v>
      </c>
      <c r="B627" t="s">
        <v>23</v>
      </c>
      <c r="C627" t="s">
        <v>12</v>
      </c>
      <c r="D627" t="s">
        <v>28</v>
      </c>
      <c r="E627" t="s">
        <v>14</v>
      </c>
      <c r="F627" t="s">
        <v>16</v>
      </c>
      <c r="G627">
        <v>126.8</v>
      </c>
      <c r="H627">
        <v>13</v>
      </c>
      <c r="I627">
        <v>1038.46</v>
      </c>
      <c r="J627">
        <v>1</v>
      </c>
      <c r="K627">
        <v>864.75</v>
      </c>
    </row>
    <row r="628" spans="1:11" x14ac:dyDescent="0.3">
      <c r="A628" s="1">
        <v>45128</v>
      </c>
      <c r="B628" t="s">
        <v>17</v>
      </c>
      <c r="C628" t="s">
        <v>18</v>
      </c>
      <c r="D628" t="s">
        <v>28</v>
      </c>
      <c r="E628" t="s">
        <v>20</v>
      </c>
      <c r="F628" t="s">
        <v>16</v>
      </c>
      <c r="G628">
        <v>119.86</v>
      </c>
      <c r="H628">
        <v>4</v>
      </c>
      <c r="I628">
        <v>80.83</v>
      </c>
      <c r="J628">
        <v>0</v>
      </c>
      <c r="K628">
        <v>-39.03</v>
      </c>
    </row>
    <row r="629" spans="1:11" x14ac:dyDescent="0.3">
      <c r="A629" s="1">
        <v>45080</v>
      </c>
      <c r="B629" t="s">
        <v>17</v>
      </c>
      <c r="C629" t="s">
        <v>18</v>
      </c>
      <c r="D629" t="s">
        <v>28</v>
      </c>
      <c r="E629" t="s">
        <v>14</v>
      </c>
      <c r="F629" t="s">
        <v>15</v>
      </c>
      <c r="G629">
        <v>173.09</v>
      </c>
      <c r="H629">
        <v>13</v>
      </c>
      <c r="I629">
        <v>160.46</v>
      </c>
      <c r="J629">
        <v>0</v>
      </c>
      <c r="K629">
        <v>-12.63</v>
      </c>
    </row>
    <row r="630" spans="1:11" x14ac:dyDescent="0.3">
      <c r="A630" s="1">
        <v>45140</v>
      </c>
      <c r="B630" t="s">
        <v>17</v>
      </c>
      <c r="C630" t="s">
        <v>12</v>
      </c>
      <c r="D630" t="s">
        <v>28</v>
      </c>
      <c r="E630" t="s">
        <v>14</v>
      </c>
      <c r="F630" t="s">
        <v>22</v>
      </c>
      <c r="G630">
        <v>153.81</v>
      </c>
      <c r="H630">
        <v>13</v>
      </c>
      <c r="I630">
        <v>646.19000000000005</v>
      </c>
      <c r="J630">
        <v>3</v>
      </c>
      <c r="K630">
        <v>391.12</v>
      </c>
    </row>
    <row r="631" spans="1:11" x14ac:dyDescent="0.3">
      <c r="A631" s="1">
        <v>45162</v>
      </c>
      <c r="B631" t="s">
        <v>17</v>
      </c>
      <c r="C631" t="s">
        <v>12</v>
      </c>
      <c r="D631" t="s">
        <v>27</v>
      </c>
      <c r="E631" t="s">
        <v>14</v>
      </c>
      <c r="F631" t="s">
        <v>15</v>
      </c>
      <c r="G631">
        <v>147.68</v>
      </c>
      <c r="H631">
        <v>5</v>
      </c>
      <c r="I631">
        <v>431.07</v>
      </c>
      <c r="J631">
        <v>1</v>
      </c>
      <c r="K631">
        <v>242.08</v>
      </c>
    </row>
    <row r="632" spans="1:11" x14ac:dyDescent="0.3">
      <c r="A632" s="1">
        <v>45202</v>
      </c>
      <c r="B632" t="s">
        <v>23</v>
      </c>
      <c r="C632" t="s">
        <v>24</v>
      </c>
      <c r="D632" t="s">
        <v>28</v>
      </c>
      <c r="E632" t="s">
        <v>20</v>
      </c>
      <c r="F632" t="s">
        <v>15</v>
      </c>
      <c r="G632">
        <v>98.69</v>
      </c>
      <c r="H632">
        <v>18</v>
      </c>
      <c r="I632">
        <v>508.44</v>
      </c>
      <c r="J632">
        <v>2</v>
      </c>
      <c r="K632">
        <v>328.02</v>
      </c>
    </row>
    <row r="633" spans="1:11" x14ac:dyDescent="0.3">
      <c r="A633" s="1">
        <v>45107</v>
      </c>
      <c r="B633" t="s">
        <v>17</v>
      </c>
      <c r="C633" t="s">
        <v>18</v>
      </c>
      <c r="D633" t="s">
        <v>13</v>
      </c>
      <c r="E633" t="s">
        <v>14</v>
      </c>
      <c r="F633" t="s">
        <v>16</v>
      </c>
      <c r="G633">
        <v>173.7</v>
      </c>
      <c r="H633">
        <v>20</v>
      </c>
      <c r="I633">
        <v>869.1</v>
      </c>
      <c r="J633">
        <v>0</v>
      </c>
      <c r="K633">
        <v>695.4</v>
      </c>
    </row>
    <row r="634" spans="1:11" x14ac:dyDescent="0.3">
      <c r="A634" s="1">
        <v>45213</v>
      </c>
      <c r="B634" t="s">
        <v>23</v>
      </c>
      <c r="C634" t="s">
        <v>24</v>
      </c>
      <c r="D634" t="s">
        <v>19</v>
      </c>
      <c r="E634" t="s">
        <v>14</v>
      </c>
      <c r="F634" t="s">
        <v>15</v>
      </c>
      <c r="G634">
        <v>28.75</v>
      </c>
      <c r="H634">
        <v>10</v>
      </c>
      <c r="I634">
        <v>371.1</v>
      </c>
      <c r="J634">
        <v>2</v>
      </c>
      <c r="K634">
        <v>295.41000000000003</v>
      </c>
    </row>
    <row r="635" spans="1:11" x14ac:dyDescent="0.3">
      <c r="A635" s="1">
        <v>44955</v>
      </c>
      <c r="B635" t="s">
        <v>21</v>
      </c>
      <c r="C635" t="s">
        <v>18</v>
      </c>
      <c r="D635" t="s">
        <v>13</v>
      </c>
      <c r="E635" t="s">
        <v>20</v>
      </c>
      <c r="F635" t="s">
        <v>15</v>
      </c>
      <c r="G635">
        <v>62.76</v>
      </c>
      <c r="H635">
        <v>11</v>
      </c>
      <c r="I635">
        <v>694.2</v>
      </c>
      <c r="J635">
        <v>1</v>
      </c>
      <c r="K635">
        <v>622.42999999999995</v>
      </c>
    </row>
    <row r="636" spans="1:11" x14ac:dyDescent="0.3">
      <c r="A636" s="1">
        <v>44929</v>
      </c>
      <c r="B636" t="s">
        <v>21</v>
      </c>
      <c r="C636" t="s">
        <v>29</v>
      </c>
      <c r="D636" t="s">
        <v>27</v>
      </c>
      <c r="E636" t="s">
        <v>14</v>
      </c>
      <c r="F636" t="s">
        <v>22</v>
      </c>
      <c r="G636">
        <v>97.67</v>
      </c>
      <c r="H636">
        <v>12</v>
      </c>
      <c r="I636">
        <v>171.06</v>
      </c>
      <c r="J636">
        <v>3</v>
      </c>
      <c r="K636">
        <v>13.99</v>
      </c>
    </row>
    <row r="637" spans="1:11" x14ac:dyDescent="0.3">
      <c r="A637" s="1">
        <v>45113</v>
      </c>
      <c r="B637" t="s">
        <v>17</v>
      </c>
      <c r="C637" t="s">
        <v>18</v>
      </c>
      <c r="D637" t="s">
        <v>27</v>
      </c>
      <c r="E637" t="s">
        <v>14</v>
      </c>
      <c r="F637" t="s">
        <v>22</v>
      </c>
      <c r="G637">
        <v>161.25</v>
      </c>
      <c r="H637">
        <v>15</v>
      </c>
      <c r="I637">
        <v>552.5</v>
      </c>
      <c r="J637">
        <v>1</v>
      </c>
      <c r="K637">
        <v>361.12</v>
      </c>
    </row>
    <row r="638" spans="1:11" x14ac:dyDescent="0.3">
      <c r="A638" s="1">
        <v>45247</v>
      </c>
      <c r="B638" t="s">
        <v>23</v>
      </c>
      <c r="C638" t="s">
        <v>18</v>
      </c>
      <c r="D638" t="s">
        <v>25</v>
      </c>
      <c r="E638" t="s">
        <v>14</v>
      </c>
      <c r="F638" t="s">
        <v>16</v>
      </c>
      <c r="G638">
        <v>164.79</v>
      </c>
      <c r="H638">
        <v>14</v>
      </c>
      <c r="I638">
        <v>440.81</v>
      </c>
      <c r="J638">
        <v>1</v>
      </c>
      <c r="K638">
        <v>257.26</v>
      </c>
    </row>
    <row r="639" spans="1:11" x14ac:dyDescent="0.3">
      <c r="A639" s="1">
        <v>45071</v>
      </c>
      <c r="B639" t="s">
        <v>11</v>
      </c>
      <c r="C639" t="s">
        <v>24</v>
      </c>
      <c r="D639" t="s">
        <v>28</v>
      </c>
      <c r="E639" t="s">
        <v>14</v>
      </c>
      <c r="F639" t="s">
        <v>15</v>
      </c>
      <c r="G639">
        <v>118.85</v>
      </c>
      <c r="H639">
        <v>16</v>
      </c>
      <c r="I639">
        <v>562.45000000000005</v>
      </c>
      <c r="J639">
        <v>0</v>
      </c>
      <c r="K639">
        <v>443.6</v>
      </c>
    </row>
    <row r="640" spans="1:11" x14ac:dyDescent="0.3">
      <c r="A640" s="1">
        <v>45161</v>
      </c>
      <c r="B640" t="s">
        <v>17</v>
      </c>
      <c r="C640" t="s">
        <v>12</v>
      </c>
      <c r="D640" t="s">
        <v>25</v>
      </c>
      <c r="E640" t="s">
        <v>14</v>
      </c>
      <c r="F640" t="s">
        <v>22</v>
      </c>
      <c r="G640">
        <v>78.19</v>
      </c>
      <c r="H640">
        <v>10</v>
      </c>
      <c r="I640">
        <v>634.55999999999995</v>
      </c>
      <c r="J640">
        <v>1</v>
      </c>
      <c r="K640">
        <v>527.96</v>
      </c>
    </row>
    <row r="641" spans="1:11" x14ac:dyDescent="0.3">
      <c r="A641" s="1">
        <v>45194</v>
      </c>
      <c r="B641" t="s">
        <v>23</v>
      </c>
      <c r="C641" t="s">
        <v>18</v>
      </c>
      <c r="D641" t="s">
        <v>27</v>
      </c>
      <c r="E641" t="s">
        <v>20</v>
      </c>
      <c r="F641" t="s">
        <v>26</v>
      </c>
      <c r="G641">
        <v>135.56</v>
      </c>
      <c r="H641">
        <v>5</v>
      </c>
      <c r="I641">
        <v>166.69</v>
      </c>
      <c r="J641">
        <v>3</v>
      </c>
      <c r="K641">
        <v>-20.14</v>
      </c>
    </row>
    <row r="642" spans="1:11" x14ac:dyDescent="0.3">
      <c r="A642" s="1">
        <v>45071</v>
      </c>
      <c r="B642" t="s">
        <v>11</v>
      </c>
      <c r="C642" t="s">
        <v>24</v>
      </c>
      <c r="D642" t="s">
        <v>27</v>
      </c>
      <c r="E642" t="s">
        <v>20</v>
      </c>
      <c r="F642" t="s">
        <v>16</v>
      </c>
      <c r="G642">
        <v>159.9</v>
      </c>
      <c r="H642">
        <v>9</v>
      </c>
      <c r="I642">
        <v>193.72</v>
      </c>
      <c r="J642">
        <v>1</v>
      </c>
      <c r="K642">
        <v>25.79</v>
      </c>
    </row>
    <row r="643" spans="1:11" x14ac:dyDescent="0.3">
      <c r="A643" s="1">
        <v>44996</v>
      </c>
      <c r="B643" t="s">
        <v>11</v>
      </c>
      <c r="C643" t="s">
        <v>18</v>
      </c>
      <c r="D643" t="s">
        <v>13</v>
      </c>
      <c r="E643" t="s">
        <v>14</v>
      </c>
      <c r="F643" t="s">
        <v>22</v>
      </c>
      <c r="G643">
        <v>115.12</v>
      </c>
      <c r="H643">
        <v>17</v>
      </c>
      <c r="I643">
        <v>1011.93</v>
      </c>
      <c r="J643">
        <v>3</v>
      </c>
      <c r="K643">
        <v>785.28</v>
      </c>
    </row>
    <row r="644" spans="1:11" x14ac:dyDescent="0.3">
      <c r="A644" s="1">
        <v>45272</v>
      </c>
      <c r="B644" t="s">
        <v>21</v>
      </c>
      <c r="C644" t="s">
        <v>12</v>
      </c>
      <c r="D644" t="s">
        <v>27</v>
      </c>
      <c r="E644" t="s">
        <v>14</v>
      </c>
      <c r="F644" t="s">
        <v>15</v>
      </c>
      <c r="G644">
        <v>174.44</v>
      </c>
      <c r="H644">
        <v>12</v>
      </c>
      <c r="I644">
        <v>447.94</v>
      </c>
      <c r="J644">
        <v>1</v>
      </c>
      <c r="K644">
        <v>239.68</v>
      </c>
    </row>
    <row r="645" spans="1:11" x14ac:dyDescent="0.3">
      <c r="A645" s="1">
        <v>45187</v>
      </c>
      <c r="B645" t="s">
        <v>23</v>
      </c>
      <c r="C645" t="s">
        <v>12</v>
      </c>
      <c r="D645" t="s">
        <v>27</v>
      </c>
      <c r="E645" t="s">
        <v>20</v>
      </c>
      <c r="F645" t="s">
        <v>15</v>
      </c>
      <c r="G645">
        <v>187.83</v>
      </c>
      <c r="H645">
        <v>16</v>
      </c>
      <c r="I645">
        <v>602.84</v>
      </c>
      <c r="J645">
        <v>2</v>
      </c>
      <c r="K645">
        <v>353.71</v>
      </c>
    </row>
    <row r="646" spans="1:11" x14ac:dyDescent="0.3">
      <c r="A646" s="1">
        <v>45118</v>
      </c>
      <c r="B646" t="s">
        <v>17</v>
      </c>
      <c r="C646" t="s">
        <v>29</v>
      </c>
      <c r="D646" t="s">
        <v>28</v>
      </c>
      <c r="E646" t="s">
        <v>14</v>
      </c>
      <c r="F646" t="s">
        <v>26</v>
      </c>
      <c r="G646">
        <v>83.43</v>
      </c>
      <c r="H646">
        <v>18</v>
      </c>
      <c r="I646">
        <v>1134.82</v>
      </c>
      <c r="J646">
        <v>2</v>
      </c>
      <c r="K646">
        <v>981.93</v>
      </c>
    </row>
    <row r="647" spans="1:11" x14ac:dyDescent="0.3">
      <c r="A647" s="1">
        <v>45028</v>
      </c>
      <c r="B647" t="s">
        <v>11</v>
      </c>
      <c r="C647" t="s">
        <v>18</v>
      </c>
      <c r="D647" t="s">
        <v>13</v>
      </c>
      <c r="E647" t="s">
        <v>14</v>
      </c>
      <c r="F647" t="s">
        <v>26</v>
      </c>
      <c r="G647">
        <v>188.56</v>
      </c>
      <c r="H647">
        <v>9</v>
      </c>
      <c r="I647">
        <v>597.98</v>
      </c>
      <c r="J647">
        <v>3</v>
      </c>
      <c r="K647">
        <v>332.11</v>
      </c>
    </row>
    <row r="648" spans="1:11" x14ac:dyDescent="0.3">
      <c r="A648" s="1">
        <v>45085</v>
      </c>
      <c r="B648" t="s">
        <v>17</v>
      </c>
      <c r="C648" t="s">
        <v>29</v>
      </c>
      <c r="D648" t="s">
        <v>27</v>
      </c>
      <c r="E648" t="s">
        <v>20</v>
      </c>
      <c r="F648" t="s">
        <v>22</v>
      </c>
      <c r="G648">
        <v>84.86</v>
      </c>
      <c r="H648">
        <v>10</v>
      </c>
      <c r="I648">
        <v>933.79</v>
      </c>
      <c r="J648">
        <v>1</v>
      </c>
      <c r="K648">
        <v>802.41</v>
      </c>
    </row>
    <row r="649" spans="1:11" x14ac:dyDescent="0.3">
      <c r="A649" s="1">
        <v>45124</v>
      </c>
      <c r="B649" t="s">
        <v>17</v>
      </c>
      <c r="C649" t="s">
        <v>18</v>
      </c>
      <c r="D649" t="s">
        <v>25</v>
      </c>
      <c r="E649" t="s">
        <v>20</v>
      </c>
      <c r="F649" t="s">
        <v>26</v>
      </c>
      <c r="G649">
        <v>30.89</v>
      </c>
      <c r="H649">
        <v>5</v>
      </c>
      <c r="I649">
        <v>126.19</v>
      </c>
      <c r="J649">
        <v>1</v>
      </c>
      <c r="K649">
        <v>81.11</v>
      </c>
    </row>
    <row r="650" spans="1:11" x14ac:dyDescent="0.3">
      <c r="A650" s="1">
        <v>45154</v>
      </c>
      <c r="B650" t="s">
        <v>17</v>
      </c>
      <c r="C650" t="s">
        <v>18</v>
      </c>
      <c r="D650" t="s">
        <v>19</v>
      </c>
      <c r="E650" t="s">
        <v>20</v>
      </c>
      <c r="F650" t="s">
        <v>16</v>
      </c>
      <c r="G650">
        <v>65.06</v>
      </c>
      <c r="H650">
        <v>9</v>
      </c>
      <c r="I650">
        <v>104.44</v>
      </c>
      <c r="J650">
        <v>0</v>
      </c>
      <c r="K650">
        <v>39.380000000000003</v>
      </c>
    </row>
    <row r="651" spans="1:11" x14ac:dyDescent="0.3">
      <c r="A651" s="1">
        <v>45041</v>
      </c>
      <c r="B651" t="s">
        <v>11</v>
      </c>
      <c r="C651" t="s">
        <v>18</v>
      </c>
      <c r="D651" t="s">
        <v>25</v>
      </c>
      <c r="E651" t="s">
        <v>14</v>
      </c>
      <c r="F651" t="s">
        <v>16</v>
      </c>
      <c r="G651">
        <v>40.79</v>
      </c>
      <c r="H651">
        <v>12</v>
      </c>
      <c r="I651">
        <v>473.27</v>
      </c>
      <c r="J651">
        <v>2</v>
      </c>
      <c r="K651">
        <v>410.22</v>
      </c>
    </row>
    <row r="652" spans="1:11" x14ac:dyDescent="0.3">
      <c r="A652" s="1">
        <v>45106</v>
      </c>
      <c r="B652" t="s">
        <v>17</v>
      </c>
      <c r="C652" t="s">
        <v>18</v>
      </c>
      <c r="D652" t="s">
        <v>13</v>
      </c>
      <c r="E652" t="s">
        <v>20</v>
      </c>
      <c r="F652" t="s">
        <v>22</v>
      </c>
      <c r="G652">
        <v>98.11</v>
      </c>
      <c r="H652">
        <v>6</v>
      </c>
      <c r="I652">
        <v>499.51</v>
      </c>
      <c r="J652">
        <v>3</v>
      </c>
      <c r="K652">
        <v>253.6</v>
      </c>
    </row>
    <row r="653" spans="1:11" x14ac:dyDescent="0.3">
      <c r="A653" s="1">
        <v>45216</v>
      </c>
      <c r="B653" t="s">
        <v>23</v>
      </c>
      <c r="C653" t="s">
        <v>12</v>
      </c>
      <c r="D653" t="s">
        <v>27</v>
      </c>
      <c r="E653" t="s">
        <v>14</v>
      </c>
      <c r="F653" t="s">
        <v>26</v>
      </c>
      <c r="G653">
        <v>84.22</v>
      </c>
      <c r="H653">
        <v>19</v>
      </c>
      <c r="I653">
        <v>1273.78</v>
      </c>
      <c r="J653">
        <v>3</v>
      </c>
      <c r="K653">
        <v>1144.03</v>
      </c>
    </row>
    <row r="654" spans="1:11" x14ac:dyDescent="0.3">
      <c r="A654" s="1">
        <v>45267</v>
      </c>
      <c r="B654" t="s">
        <v>21</v>
      </c>
      <c r="C654" t="s">
        <v>24</v>
      </c>
      <c r="D654" t="s">
        <v>13</v>
      </c>
      <c r="E654" t="s">
        <v>20</v>
      </c>
      <c r="F654" t="s">
        <v>16</v>
      </c>
      <c r="G654">
        <v>83.9</v>
      </c>
      <c r="H654">
        <v>2</v>
      </c>
      <c r="I654">
        <v>133.82</v>
      </c>
      <c r="J654">
        <v>1</v>
      </c>
      <c r="K654">
        <v>19.95</v>
      </c>
    </row>
    <row r="655" spans="1:11" x14ac:dyDescent="0.3">
      <c r="A655" s="1">
        <v>45080</v>
      </c>
      <c r="B655" t="s">
        <v>17</v>
      </c>
      <c r="C655" t="s">
        <v>12</v>
      </c>
      <c r="D655" t="s">
        <v>19</v>
      </c>
      <c r="E655" t="s">
        <v>14</v>
      </c>
      <c r="F655" t="s">
        <v>22</v>
      </c>
      <c r="G655">
        <v>194.21</v>
      </c>
      <c r="H655">
        <v>9</v>
      </c>
      <c r="I655">
        <v>466.64</v>
      </c>
      <c r="J655">
        <v>0</v>
      </c>
      <c r="K655">
        <v>272.43</v>
      </c>
    </row>
    <row r="656" spans="1:11" x14ac:dyDescent="0.3">
      <c r="A656" s="1">
        <v>45153</v>
      </c>
      <c r="B656" t="s">
        <v>17</v>
      </c>
      <c r="C656" t="s">
        <v>29</v>
      </c>
      <c r="D656" t="s">
        <v>19</v>
      </c>
      <c r="E656" t="s">
        <v>20</v>
      </c>
      <c r="F656" t="s">
        <v>15</v>
      </c>
      <c r="G656">
        <v>156.1</v>
      </c>
      <c r="H656">
        <v>3</v>
      </c>
      <c r="I656">
        <v>199.04</v>
      </c>
      <c r="J656">
        <v>0</v>
      </c>
      <c r="K656">
        <v>42.94</v>
      </c>
    </row>
    <row r="657" spans="1:11" x14ac:dyDescent="0.3">
      <c r="A657" s="1">
        <v>45280</v>
      </c>
      <c r="B657" t="s">
        <v>21</v>
      </c>
      <c r="C657" t="s">
        <v>18</v>
      </c>
      <c r="D657" t="s">
        <v>27</v>
      </c>
      <c r="E657" t="s">
        <v>14</v>
      </c>
      <c r="F657" t="s">
        <v>26</v>
      </c>
      <c r="G657">
        <v>14.31</v>
      </c>
      <c r="H657">
        <v>6</v>
      </c>
      <c r="I657">
        <v>482.56</v>
      </c>
      <c r="J657">
        <v>3</v>
      </c>
      <c r="K657">
        <v>404.52</v>
      </c>
    </row>
    <row r="658" spans="1:11" x14ac:dyDescent="0.3">
      <c r="A658" s="1">
        <v>45033</v>
      </c>
      <c r="B658" t="s">
        <v>11</v>
      </c>
      <c r="C658" t="s">
        <v>29</v>
      </c>
      <c r="D658" t="s">
        <v>25</v>
      </c>
      <c r="E658" t="s">
        <v>20</v>
      </c>
      <c r="F658" t="s">
        <v>22</v>
      </c>
      <c r="G658">
        <v>132.01</v>
      </c>
      <c r="H658">
        <v>17</v>
      </c>
      <c r="I658">
        <v>1361.35</v>
      </c>
      <c r="J658">
        <v>2</v>
      </c>
      <c r="K658">
        <v>1142.54</v>
      </c>
    </row>
    <row r="659" spans="1:11" x14ac:dyDescent="0.3">
      <c r="A659" s="1">
        <v>45208</v>
      </c>
      <c r="B659" t="s">
        <v>23</v>
      </c>
      <c r="C659" t="s">
        <v>29</v>
      </c>
      <c r="D659" t="s">
        <v>19</v>
      </c>
      <c r="E659" t="s">
        <v>14</v>
      </c>
      <c r="F659" t="s">
        <v>22</v>
      </c>
      <c r="G659">
        <v>97.4</v>
      </c>
      <c r="H659">
        <v>19</v>
      </c>
      <c r="I659">
        <v>1413.83</v>
      </c>
      <c r="J659">
        <v>2</v>
      </c>
      <c r="K659">
        <v>1219.6500000000001</v>
      </c>
    </row>
    <row r="660" spans="1:11" x14ac:dyDescent="0.3">
      <c r="A660" s="1">
        <v>45157</v>
      </c>
      <c r="B660" t="s">
        <v>17</v>
      </c>
      <c r="C660" t="s">
        <v>18</v>
      </c>
      <c r="D660" t="s">
        <v>27</v>
      </c>
      <c r="E660" t="s">
        <v>20</v>
      </c>
      <c r="F660" t="s">
        <v>16</v>
      </c>
      <c r="G660">
        <v>141.25</v>
      </c>
      <c r="H660">
        <v>17</v>
      </c>
      <c r="I660">
        <v>736.98</v>
      </c>
      <c r="J660">
        <v>3</v>
      </c>
      <c r="K660">
        <v>467.21</v>
      </c>
    </row>
    <row r="661" spans="1:11" x14ac:dyDescent="0.3">
      <c r="A661" s="1">
        <v>45249</v>
      </c>
      <c r="B661" t="s">
        <v>23</v>
      </c>
      <c r="C661" t="s">
        <v>24</v>
      </c>
      <c r="D661" t="s">
        <v>28</v>
      </c>
      <c r="E661" t="s">
        <v>20</v>
      </c>
      <c r="F661" t="s">
        <v>26</v>
      </c>
      <c r="G661">
        <v>136.22</v>
      </c>
      <c r="H661">
        <v>9</v>
      </c>
      <c r="I661">
        <v>517.39</v>
      </c>
      <c r="J661">
        <v>1</v>
      </c>
      <c r="K661">
        <v>364.56</v>
      </c>
    </row>
    <row r="662" spans="1:11" x14ac:dyDescent="0.3">
      <c r="A662" s="1">
        <v>45069</v>
      </c>
      <c r="B662" t="s">
        <v>11</v>
      </c>
      <c r="C662" t="s">
        <v>24</v>
      </c>
      <c r="D662" t="s">
        <v>13</v>
      </c>
      <c r="E662" t="s">
        <v>14</v>
      </c>
      <c r="F662" t="s">
        <v>16</v>
      </c>
      <c r="G662">
        <v>27.7</v>
      </c>
      <c r="H662">
        <v>10</v>
      </c>
      <c r="I662">
        <v>924.9</v>
      </c>
      <c r="J662">
        <v>1</v>
      </c>
      <c r="K662">
        <v>870.84</v>
      </c>
    </row>
    <row r="663" spans="1:11" x14ac:dyDescent="0.3">
      <c r="A663" s="1">
        <v>45072</v>
      </c>
      <c r="B663" t="s">
        <v>11</v>
      </c>
      <c r="C663" t="s">
        <v>18</v>
      </c>
      <c r="D663" t="s">
        <v>13</v>
      </c>
      <c r="E663" t="s">
        <v>20</v>
      </c>
      <c r="F663" t="s">
        <v>16</v>
      </c>
      <c r="G663">
        <v>98.75</v>
      </c>
      <c r="H663">
        <v>10</v>
      </c>
      <c r="I663">
        <v>943.41</v>
      </c>
      <c r="J663">
        <v>0</v>
      </c>
      <c r="K663">
        <v>844.66</v>
      </c>
    </row>
    <row r="664" spans="1:11" x14ac:dyDescent="0.3">
      <c r="A664" s="1">
        <v>45174</v>
      </c>
      <c r="B664" t="s">
        <v>23</v>
      </c>
      <c r="C664" t="s">
        <v>29</v>
      </c>
      <c r="D664" t="s">
        <v>27</v>
      </c>
      <c r="E664" t="s">
        <v>14</v>
      </c>
      <c r="F664" t="s">
        <v>15</v>
      </c>
      <c r="G664">
        <v>39.020000000000003</v>
      </c>
      <c r="H664">
        <v>7</v>
      </c>
      <c r="I664">
        <v>387.08</v>
      </c>
      <c r="J664">
        <v>2</v>
      </c>
      <c r="K664">
        <v>318.95</v>
      </c>
    </row>
    <row r="665" spans="1:11" x14ac:dyDescent="0.3">
      <c r="A665" s="1">
        <v>44996</v>
      </c>
      <c r="B665" t="s">
        <v>11</v>
      </c>
      <c r="C665" t="s">
        <v>24</v>
      </c>
      <c r="D665" t="s">
        <v>13</v>
      </c>
      <c r="E665" t="s">
        <v>20</v>
      </c>
      <c r="F665" t="s">
        <v>16</v>
      </c>
      <c r="G665">
        <v>58.28</v>
      </c>
      <c r="H665">
        <v>7</v>
      </c>
      <c r="I665">
        <v>637.22</v>
      </c>
      <c r="J665">
        <v>3</v>
      </c>
      <c r="K665">
        <v>510.01</v>
      </c>
    </row>
    <row r="666" spans="1:11" x14ac:dyDescent="0.3">
      <c r="A666" s="1">
        <v>45192</v>
      </c>
      <c r="B666" t="s">
        <v>23</v>
      </c>
      <c r="C666" t="s">
        <v>24</v>
      </c>
      <c r="D666" t="s">
        <v>27</v>
      </c>
      <c r="E666" t="s">
        <v>14</v>
      </c>
      <c r="F666" t="s">
        <v>22</v>
      </c>
      <c r="G666">
        <v>36.93</v>
      </c>
      <c r="H666">
        <v>12</v>
      </c>
      <c r="I666">
        <v>661.63</v>
      </c>
      <c r="J666">
        <v>0</v>
      </c>
      <c r="K666">
        <v>624.70000000000005</v>
      </c>
    </row>
    <row r="667" spans="1:11" x14ac:dyDescent="0.3">
      <c r="A667" s="1">
        <v>45144</v>
      </c>
      <c r="B667" t="s">
        <v>17</v>
      </c>
      <c r="C667" t="s">
        <v>12</v>
      </c>
      <c r="D667" t="s">
        <v>19</v>
      </c>
      <c r="E667" t="s">
        <v>20</v>
      </c>
      <c r="F667" t="s">
        <v>22</v>
      </c>
      <c r="G667">
        <v>125.27</v>
      </c>
      <c r="H667">
        <v>16</v>
      </c>
      <c r="I667">
        <v>1489.41</v>
      </c>
      <c r="J667">
        <v>1</v>
      </c>
      <c r="K667">
        <v>1347.52</v>
      </c>
    </row>
    <row r="668" spans="1:11" x14ac:dyDescent="0.3">
      <c r="A668" s="1">
        <v>45248</v>
      </c>
      <c r="B668" t="s">
        <v>23</v>
      </c>
      <c r="C668" t="s">
        <v>29</v>
      </c>
      <c r="D668" t="s">
        <v>25</v>
      </c>
      <c r="E668" t="s">
        <v>14</v>
      </c>
      <c r="F668" t="s">
        <v>16</v>
      </c>
      <c r="G668">
        <v>123.83</v>
      </c>
      <c r="H668">
        <v>2</v>
      </c>
      <c r="I668">
        <v>111.21</v>
      </c>
      <c r="J668">
        <v>0</v>
      </c>
      <c r="K668">
        <v>-12.62</v>
      </c>
    </row>
    <row r="669" spans="1:11" x14ac:dyDescent="0.3">
      <c r="A669" s="1">
        <v>45230</v>
      </c>
      <c r="B669" t="s">
        <v>23</v>
      </c>
      <c r="C669" t="s">
        <v>29</v>
      </c>
      <c r="D669" t="s">
        <v>28</v>
      </c>
      <c r="E669" t="s">
        <v>14</v>
      </c>
      <c r="F669" t="s">
        <v>16</v>
      </c>
      <c r="G669">
        <v>27.92</v>
      </c>
      <c r="H669">
        <v>2</v>
      </c>
      <c r="I669">
        <v>172.52</v>
      </c>
      <c r="J669">
        <v>0</v>
      </c>
      <c r="K669">
        <v>144.6</v>
      </c>
    </row>
    <row r="670" spans="1:11" x14ac:dyDescent="0.3">
      <c r="A670" s="1">
        <v>45027</v>
      </c>
      <c r="B670" t="s">
        <v>11</v>
      </c>
      <c r="C670" t="s">
        <v>18</v>
      </c>
      <c r="D670" t="s">
        <v>25</v>
      </c>
      <c r="E670" t="s">
        <v>20</v>
      </c>
      <c r="F670" t="s">
        <v>26</v>
      </c>
      <c r="G670">
        <v>55.96</v>
      </c>
      <c r="H670">
        <v>19</v>
      </c>
      <c r="I670">
        <v>1031.08</v>
      </c>
      <c r="J670">
        <v>3</v>
      </c>
      <c r="K670">
        <v>878.35</v>
      </c>
    </row>
    <row r="671" spans="1:11" x14ac:dyDescent="0.3">
      <c r="A671" s="1">
        <v>45025</v>
      </c>
      <c r="B671" t="s">
        <v>11</v>
      </c>
      <c r="C671" t="s">
        <v>24</v>
      </c>
      <c r="D671" t="s">
        <v>19</v>
      </c>
      <c r="E671" t="s">
        <v>14</v>
      </c>
      <c r="F671" t="s">
        <v>26</v>
      </c>
      <c r="G671">
        <v>149.71</v>
      </c>
      <c r="H671">
        <v>1</v>
      </c>
      <c r="I671">
        <v>99.65</v>
      </c>
      <c r="J671">
        <v>0</v>
      </c>
      <c r="K671">
        <v>-50.06</v>
      </c>
    </row>
    <row r="672" spans="1:11" x14ac:dyDescent="0.3">
      <c r="A672" s="1">
        <v>44977</v>
      </c>
      <c r="B672" t="s">
        <v>21</v>
      </c>
      <c r="C672" t="s">
        <v>12</v>
      </c>
      <c r="D672" t="s">
        <v>28</v>
      </c>
      <c r="E672" t="s">
        <v>14</v>
      </c>
      <c r="F672" t="s">
        <v>16</v>
      </c>
      <c r="G672">
        <v>116.42</v>
      </c>
      <c r="H672">
        <v>19</v>
      </c>
      <c r="I672">
        <v>1685.37</v>
      </c>
      <c r="J672">
        <v>3</v>
      </c>
      <c r="K672">
        <v>1473.31</v>
      </c>
    </row>
    <row r="673" spans="1:11" x14ac:dyDescent="0.3">
      <c r="A673" s="1">
        <v>45057</v>
      </c>
      <c r="B673" t="s">
        <v>11</v>
      </c>
      <c r="C673" t="s">
        <v>29</v>
      </c>
      <c r="D673" t="s">
        <v>19</v>
      </c>
      <c r="E673" t="s">
        <v>20</v>
      </c>
      <c r="F673" t="s">
        <v>26</v>
      </c>
      <c r="G673">
        <v>159.22</v>
      </c>
      <c r="H673">
        <v>18</v>
      </c>
      <c r="I673">
        <v>1439.92</v>
      </c>
      <c r="J673">
        <v>1</v>
      </c>
      <c r="K673">
        <v>1247.94</v>
      </c>
    </row>
    <row r="674" spans="1:11" x14ac:dyDescent="0.3">
      <c r="A674" s="1">
        <v>45230</v>
      </c>
      <c r="B674" t="s">
        <v>23</v>
      </c>
      <c r="C674" t="s">
        <v>24</v>
      </c>
      <c r="D674" t="s">
        <v>27</v>
      </c>
      <c r="E674" t="s">
        <v>14</v>
      </c>
      <c r="F674" t="s">
        <v>16</v>
      </c>
      <c r="G674">
        <v>57.67</v>
      </c>
      <c r="H674">
        <v>14</v>
      </c>
      <c r="I674">
        <v>163.22</v>
      </c>
      <c r="J674">
        <v>0</v>
      </c>
      <c r="K674">
        <v>105.55</v>
      </c>
    </row>
    <row r="675" spans="1:11" x14ac:dyDescent="0.3">
      <c r="A675" s="1">
        <v>45263</v>
      </c>
      <c r="B675" t="s">
        <v>21</v>
      </c>
      <c r="C675" t="s">
        <v>12</v>
      </c>
      <c r="D675" t="s">
        <v>19</v>
      </c>
      <c r="E675" t="s">
        <v>14</v>
      </c>
      <c r="F675" t="s">
        <v>15</v>
      </c>
      <c r="G675">
        <v>119.01</v>
      </c>
      <c r="H675">
        <v>5</v>
      </c>
      <c r="I675">
        <v>282.39999999999998</v>
      </c>
      <c r="J675">
        <v>1</v>
      </c>
      <c r="K675">
        <v>150.75</v>
      </c>
    </row>
    <row r="676" spans="1:11" x14ac:dyDescent="0.3">
      <c r="A676" s="1">
        <v>45168</v>
      </c>
      <c r="B676" t="s">
        <v>17</v>
      </c>
      <c r="C676" t="s">
        <v>24</v>
      </c>
      <c r="D676" t="s">
        <v>13</v>
      </c>
      <c r="E676" t="s">
        <v>20</v>
      </c>
      <c r="F676" t="s">
        <v>16</v>
      </c>
      <c r="G676">
        <v>48.43</v>
      </c>
      <c r="H676">
        <v>10</v>
      </c>
      <c r="I676">
        <v>471.56</v>
      </c>
      <c r="J676">
        <v>2</v>
      </c>
      <c r="K676">
        <v>379.83</v>
      </c>
    </row>
    <row r="677" spans="1:11" x14ac:dyDescent="0.3">
      <c r="A677" s="1">
        <v>45167</v>
      </c>
      <c r="B677" t="s">
        <v>17</v>
      </c>
      <c r="C677" t="s">
        <v>12</v>
      </c>
      <c r="D677" t="s">
        <v>19</v>
      </c>
      <c r="E677" t="s">
        <v>20</v>
      </c>
      <c r="F677" t="s">
        <v>16</v>
      </c>
      <c r="G677">
        <v>129.81</v>
      </c>
      <c r="H677">
        <v>16</v>
      </c>
      <c r="I677">
        <v>804.91</v>
      </c>
      <c r="J677">
        <v>2</v>
      </c>
      <c r="K677">
        <v>642.69000000000005</v>
      </c>
    </row>
    <row r="678" spans="1:11" x14ac:dyDescent="0.3">
      <c r="A678" s="1">
        <v>44962</v>
      </c>
      <c r="B678" t="s">
        <v>21</v>
      </c>
      <c r="C678" t="s">
        <v>12</v>
      </c>
      <c r="D678" t="s">
        <v>28</v>
      </c>
      <c r="E678" t="s">
        <v>14</v>
      </c>
      <c r="F678" t="s">
        <v>26</v>
      </c>
      <c r="G678">
        <v>76.25</v>
      </c>
      <c r="H678">
        <v>9</v>
      </c>
      <c r="I678">
        <v>172.26</v>
      </c>
      <c r="J678">
        <v>3</v>
      </c>
      <c r="K678">
        <v>25.39</v>
      </c>
    </row>
    <row r="679" spans="1:11" x14ac:dyDescent="0.3">
      <c r="A679" s="1">
        <v>45050</v>
      </c>
      <c r="B679" t="s">
        <v>11</v>
      </c>
      <c r="C679" t="s">
        <v>29</v>
      </c>
      <c r="D679" t="s">
        <v>28</v>
      </c>
      <c r="E679" t="s">
        <v>14</v>
      </c>
      <c r="F679" t="s">
        <v>22</v>
      </c>
      <c r="G679">
        <v>54.92</v>
      </c>
      <c r="H679">
        <v>19</v>
      </c>
      <c r="I679">
        <v>1705.89</v>
      </c>
      <c r="J679">
        <v>3</v>
      </c>
      <c r="K679">
        <v>1548.51</v>
      </c>
    </row>
    <row r="680" spans="1:11" x14ac:dyDescent="0.3">
      <c r="A680" s="1">
        <v>45154</v>
      </c>
      <c r="B680" t="s">
        <v>17</v>
      </c>
      <c r="C680" t="s">
        <v>12</v>
      </c>
      <c r="D680" t="s">
        <v>28</v>
      </c>
      <c r="E680" t="s">
        <v>14</v>
      </c>
      <c r="F680" t="s">
        <v>26</v>
      </c>
      <c r="G680">
        <v>121.64</v>
      </c>
      <c r="H680">
        <v>11</v>
      </c>
      <c r="I680">
        <v>640.99</v>
      </c>
      <c r="J680">
        <v>2</v>
      </c>
      <c r="K680">
        <v>421.31</v>
      </c>
    </row>
    <row r="681" spans="1:11" x14ac:dyDescent="0.3">
      <c r="A681" s="1">
        <v>45086</v>
      </c>
      <c r="B681" t="s">
        <v>17</v>
      </c>
      <c r="C681" t="s">
        <v>18</v>
      </c>
      <c r="D681" t="s">
        <v>27</v>
      </c>
      <c r="E681" t="s">
        <v>14</v>
      </c>
      <c r="F681" t="s">
        <v>15</v>
      </c>
      <c r="G681">
        <v>25.98</v>
      </c>
      <c r="H681">
        <v>5</v>
      </c>
      <c r="I681">
        <v>282.5</v>
      </c>
      <c r="J681">
        <v>2</v>
      </c>
      <c r="K681">
        <v>239.08</v>
      </c>
    </row>
    <row r="682" spans="1:11" x14ac:dyDescent="0.3">
      <c r="A682" s="1">
        <v>45162</v>
      </c>
      <c r="B682" t="s">
        <v>17</v>
      </c>
      <c r="C682" t="s">
        <v>29</v>
      </c>
      <c r="D682" t="s">
        <v>25</v>
      </c>
      <c r="E682" t="s">
        <v>20</v>
      </c>
      <c r="F682" t="s">
        <v>16</v>
      </c>
      <c r="G682">
        <v>167.4</v>
      </c>
      <c r="H682">
        <v>5</v>
      </c>
      <c r="I682">
        <v>477.37</v>
      </c>
      <c r="J682">
        <v>3</v>
      </c>
      <c r="K682">
        <v>176.04</v>
      </c>
    </row>
    <row r="683" spans="1:11" x14ac:dyDescent="0.3">
      <c r="A683" s="1">
        <v>44989</v>
      </c>
      <c r="B683" t="s">
        <v>11</v>
      </c>
      <c r="C683" t="s">
        <v>24</v>
      </c>
      <c r="D683" t="s">
        <v>27</v>
      </c>
      <c r="E683" t="s">
        <v>20</v>
      </c>
      <c r="F683" t="s">
        <v>26</v>
      </c>
      <c r="G683">
        <v>58.28</v>
      </c>
      <c r="H683">
        <v>6</v>
      </c>
      <c r="I683">
        <v>110.28</v>
      </c>
      <c r="J683">
        <v>0</v>
      </c>
      <c r="K683">
        <v>52</v>
      </c>
    </row>
    <row r="684" spans="1:11" x14ac:dyDescent="0.3">
      <c r="A684" s="1">
        <v>45028</v>
      </c>
      <c r="B684" t="s">
        <v>11</v>
      </c>
      <c r="C684" t="s">
        <v>18</v>
      </c>
      <c r="D684" t="s">
        <v>13</v>
      </c>
      <c r="E684" t="s">
        <v>20</v>
      </c>
      <c r="F684" t="s">
        <v>16</v>
      </c>
      <c r="G684">
        <v>81.88</v>
      </c>
      <c r="H684">
        <v>7</v>
      </c>
      <c r="I684">
        <v>418.4</v>
      </c>
      <c r="J684">
        <v>1</v>
      </c>
      <c r="K684">
        <v>310.08999999999997</v>
      </c>
    </row>
    <row r="685" spans="1:11" x14ac:dyDescent="0.3">
      <c r="A685" s="1">
        <v>45221</v>
      </c>
      <c r="B685" t="s">
        <v>23</v>
      </c>
      <c r="C685" t="s">
        <v>24</v>
      </c>
      <c r="D685" t="s">
        <v>27</v>
      </c>
      <c r="E685" t="s">
        <v>14</v>
      </c>
      <c r="F685" t="s">
        <v>22</v>
      </c>
      <c r="G685">
        <v>80.84</v>
      </c>
      <c r="H685">
        <v>17</v>
      </c>
      <c r="I685">
        <v>811.34</v>
      </c>
      <c r="J685">
        <v>3</v>
      </c>
      <c r="K685">
        <v>665.98</v>
      </c>
    </row>
    <row r="686" spans="1:11" x14ac:dyDescent="0.3">
      <c r="A686" s="1">
        <v>45254</v>
      </c>
      <c r="B686" t="s">
        <v>23</v>
      </c>
      <c r="C686" t="s">
        <v>12</v>
      </c>
      <c r="D686" t="s">
        <v>28</v>
      </c>
      <c r="E686" t="s">
        <v>20</v>
      </c>
      <c r="F686" t="s">
        <v>22</v>
      </c>
      <c r="G686">
        <v>10.029999999999999</v>
      </c>
      <c r="H686">
        <v>9</v>
      </c>
      <c r="I686">
        <v>789.08</v>
      </c>
      <c r="J686">
        <v>3</v>
      </c>
      <c r="K686">
        <v>633.66999999999996</v>
      </c>
    </row>
    <row r="687" spans="1:11" x14ac:dyDescent="0.3">
      <c r="A687" s="1">
        <v>45254</v>
      </c>
      <c r="B687" t="s">
        <v>23</v>
      </c>
      <c r="C687" t="s">
        <v>24</v>
      </c>
      <c r="D687" t="s">
        <v>28</v>
      </c>
      <c r="E687" t="s">
        <v>14</v>
      </c>
      <c r="F687" t="s">
        <v>15</v>
      </c>
      <c r="G687">
        <v>41.78</v>
      </c>
      <c r="H687">
        <v>4</v>
      </c>
      <c r="I687">
        <v>301.33</v>
      </c>
      <c r="J687">
        <v>0</v>
      </c>
      <c r="K687">
        <v>259.55</v>
      </c>
    </row>
    <row r="688" spans="1:11" x14ac:dyDescent="0.3">
      <c r="A688" s="1">
        <v>45229</v>
      </c>
      <c r="B688" t="s">
        <v>23</v>
      </c>
      <c r="C688" t="s">
        <v>24</v>
      </c>
      <c r="D688" t="s">
        <v>25</v>
      </c>
      <c r="E688" t="s">
        <v>14</v>
      </c>
      <c r="F688" t="s">
        <v>16</v>
      </c>
      <c r="G688">
        <v>90.94</v>
      </c>
      <c r="H688">
        <v>6</v>
      </c>
      <c r="I688">
        <v>369.74</v>
      </c>
      <c r="J688">
        <v>0</v>
      </c>
      <c r="K688">
        <v>278.8</v>
      </c>
    </row>
    <row r="689" spans="1:11" x14ac:dyDescent="0.3">
      <c r="A689" s="1">
        <v>45251</v>
      </c>
      <c r="B689" t="s">
        <v>23</v>
      </c>
      <c r="C689" t="s">
        <v>18</v>
      </c>
      <c r="D689" t="s">
        <v>28</v>
      </c>
      <c r="E689" t="s">
        <v>20</v>
      </c>
      <c r="F689" t="s">
        <v>16</v>
      </c>
      <c r="G689">
        <v>104.28</v>
      </c>
      <c r="H689">
        <v>8</v>
      </c>
      <c r="I689">
        <v>583.28</v>
      </c>
      <c r="J689">
        <v>1</v>
      </c>
      <c r="K689">
        <v>443.51</v>
      </c>
    </row>
    <row r="690" spans="1:11" x14ac:dyDescent="0.3">
      <c r="A690" s="1">
        <v>45003</v>
      </c>
      <c r="B690" t="s">
        <v>11</v>
      </c>
      <c r="C690" t="s">
        <v>12</v>
      </c>
      <c r="D690" t="s">
        <v>28</v>
      </c>
      <c r="E690" t="s">
        <v>14</v>
      </c>
      <c r="F690" t="s">
        <v>16</v>
      </c>
      <c r="G690">
        <v>83.35</v>
      </c>
      <c r="H690">
        <v>13</v>
      </c>
      <c r="I690">
        <v>1027.53</v>
      </c>
      <c r="J690">
        <v>1</v>
      </c>
      <c r="K690">
        <v>928.23</v>
      </c>
    </row>
    <row r="691" spans="1:11" x14ac:dyDescent="0.3">
      <c r="A691" s="1">
        <v>45225</v>
      </c>
      <c r="B691" t="s">
        <v>23</v>
      </c>
      <c r="C691" t="s">
        <v>12</v>
      </c>
      <c r="D691" t="s">
        <v>13</v>
      </c>
      <c r="E691" t="s">
        <v>20</v>
      </c>
      <c r="F691" t="s">
        <v>16</v>
      </c>
      <c r="G691">
        <v>170.38</v>
      </c>
      <c r="H691">
        <v>2</v>
      </c>
      <c r="I691">
        <v>152.96</v>
      </c>
      <c r="J691">
        <v>0</v>
      </c>
      <c r="K691">
        <v>-17.420000000000002</v>
      </c>
    </row>
    <row r="692" spans="1:11" x14ac:dyDescent="0.3">
      <c r="A692" s="1">
        <v>45072</v>
      </c>
      <c r="B692" t="s">
        <v>11</v>
      </c>
      <c r="C692" t="s">
        <v>18</v>
      </c>
      <c r="D692" t="s">
        <v>27</v>
      </c>
      <c r="E692" t="s">
        <v>14</v>
      </c>
      <c r="F692" t="s">
        <v>16</v>
      </c>
      <c r="G692">
        <v>63.33</v>
      </c>
      <c r="H692">
        <v>11</v>
      </c>
      <c r="I692">
        <v>996.47</v>
      </c>
      <c r="J692">
        <v>2</v>
      </c>
      <c r="K692">
        <v>841.9</v>
      </c>
    </row>
    <row r="693" spans="1:11" x14ac:dyDescent="0.3">
      <c r="A693" s="1">
        <v>45277</v>
      </c>
      <c r="B693" t="s">
        <v>21</v>
      </c>
      <c r="C693" t="s">
        <v>18</v>
      </c>
      <c r="D693" t="s">
        <v>19</v>
      </c>
      <c r="E693" t="s">
        <v>20</v>
      </c>
      <c r="F693" t="s">
        <v>22</v>
      </c>
      <c r="G693">
        <v>173.21</v>
      </c>
      <c r="H693">
        <v>6</v>
      </c>
      <c r="I693">
        <v>164.95</v>
      </c>
      <c r="J693">
        <v>0</v>
      </c>
      <c r="K693">
        <v>-8.26</v>
      </c>
    </row>
    <row r="694" spans="1:11" x14ac:dyDescent="0.3">
      <c r="A694" s="1">
        <v>45268</v>
      </c>
      <c r="B694" t="s">
        <v>21</v>
      </c>
      <c r="C694" t="s">
        <v>18</v>
      </c>
      <c r="D694" t="s">
        <v>13</v>
      </c>
      <c r="E694" t="s">
        <v>20</v>
      </c>
      <c r="F694" t="s">
        <v>16</v>
      </c>
      <c r="G694">
        <v>187.5</v>
      </c>
      <c r="H694">
        <v>8</v>
      </c>
      <c r="I694">
        <v>288.32</v>
      </c>
      <c r="J694">
        <v>3</v>
      </c>
      <c r="K694">
        <v>-6.77</v>
      </c>
    </row>
    <row r="695" spans="1:11" x14ac:dyDescent="0.3">
      <c r="A695" s="1">
        <v>44949</v>
      </c>
      <c r="B695" t="s">
        <v>21</v>
      </c>
      <c r="C695" t="s">
        <v>12</v>
      </c>
      <c r="D695" t="s">
        <v>25</v>
      </c>
      <c r="E695" t="s">
        <v>14</v>
      </c>
      <c r="F695" t="s">
        <v>26</v>
      </c>
      <c r="G695">
        <v>97.44</v>
      </c>
      <c r="H695">
        <v>20</v>
      </c>
      <c r="I695">
        <v>1013.4</v>
      </c>
      <c r="J695">
        <v>1</v>
      </c>
      <c r="K695">
        <v>894.01</v>
      </c>
    </row>
    <row r="696" spans="1:11" x14ac:dyDescent="0.3">
      <c r="A696" s="1">
        <v>45168</v>
      </c>
      <c r="B696" t="s">
        <v>17</v>
      </c>
      <c r="C696" t="s">
        <v>18</v>
      </c>
      <c r="D696" t="s">
        <v>28</v>
      </c>
      <c r="E696" t="s">
        <v>14</v>
      </c>
      <c r="F696" t="s">
        <v>26</v>
      </c>
      <c r="G696">
        <v>100.5</v>
      </c>
      <c r="H696">
        <v>8</v>
      </c>
      <c r="I696">
        <v>781.35</v>
      </c>
      <c r="J696">
        <v>1</v>
      </c>
      <c r="K696">
        <v>636.14</v>
      </c>
    </row>
    <row r="697" spans="1:11" x14ac:dyDescent="0.3">
      <c r="A697" s="1">
        <v>45176</v>
      </c>
      <c r="B697" t="s">
        <v>23</v>
      </c>
      <c r="C697" t="s">
        <v>18</v>
      </c>
      <c r="D697" t="s">
        <v>25</v>
      </c>
      <c r="E697" t="s">
        <v>14</v>
      </c>
      <c r="F697" t="s">
        <v>15</v>
      </c>
      <c r="G697">
        <v>93.88</v>
      </c>
      <c r="H697">
        <v>5</v>
      </c>
      <c r="I697">
        <v>318.36</v>
      </c>
      <c r="J697">
        <v>0</v>
      </c>
      <c r="K697">
        <v>224.48</v>
      </c>
    </row>
    <row r="698" spans="1:11" x14ac:dyDescent="0.3">
      <c r="A698" s="1">
        <v>45056</v>
      </c>
      <c r="B698" t="s">
        <v>11</v>
      </c>
      <c r="C698" t="s">
        <v>29</v>
      </c>
      <c r="D698" t="s">
        <v>28</v>
      </c>
      <c r="E698" t="s">
        <v>20</v>
      </c>
      <c r="F698" t="s">
        <v>15</v>
      </c>
      <c r="G698">
        <v>124.51</v>
      </c>
      <c r="H698">
        <v>13</v>
      </c>
      <c r="I698">
        <v>906.11</v>
      </c>
      <c r="J698">
        <v>3</v>
      </c>
      <c r="K698">
        <v>691.16</v>
      </c>
    </row>
    <row r="699" spans="1:11" x14ac:dyDescent="0.3">
      <c r="A699" s="1">
        <v>45099</v>
      </c>
      <c r="B699" t="s">
        <v>17</v>
      </c>
      <c r="C699" t="s">
        <v>29</v>
      </c>
      <c r="D699" t="s">
        <v>25</v>
      </c>
      <c r="E699" t="s">
        <v>20</v>
      </c>
      <c r="F699" t="s">
        <v>22</v>
      </c>
      <c r="G699">
        <v>190.49</v>
      </c>
      <c r="H699">
        <v>15</v>
      </c>
      <c r="I699">
        <v>1145.3900000000001</v>
      </c>
      <c r="J699">
        <v>2</v>
      </c>
      <c r="K699">
        <v>893.79</v>
      </c>
    </row>
    <row r="700" spans="1:11" x14ac:dyDescent="0.3">
      <c r="A700" s="1">
        <v>45115</v>
      </c>
      <c r="B700" t="s">
        <v>17</v>
      </c>
      <c r="C700" t="s">
        <v>29</v>
      </c>
      <c r="D700" t="s">
        <v>13</v>
      </c>
      <c r="E700" t="s">
        <v>20</v>
      </c>
      <c r="F700" t="s">
        <v>16</v>
      </c>
      <c r="G700">
        <v>55.24</v>
      </c>
      <c r="H700">
        <v>15</v>
      </c>
      <c r="I700">
        <v>1497.67</v>
      </c>
      <c r="J700">
        <v>0</v>
      </c>
      <c r="K700">
        <v>1442.43</v>
      </c>
    </row>
    <row r="701" spans="1:11" x14ac:dyDescent="0.3">
      <c r="A701" s="1">
        <v>45266</v>
      </c>
      <c r="B701" t="s">
        <v>21</v>
      </c>
      <c r="C701" t="s">
        <v>24</v>
      </c>
      <c r="D701" t="s">
        <v>27</v>
      </c>
      <c r="E701" t="s">
        <v>20</v>
      </c>
      <c r="F701" t="s">
        <v>15</v>
      </c>
      <c r="G701">
        <v>84.2</v>
      </c>
      <c r="H701">
        <v>4</v>
      </c>
      <c r="I701">
        <v>298.85000000000002</v>
      </c>
      <c r="J701">
        <v>1</v>
      </c>
      <c r="K701">
        <v>193.71</v>
      </c>
    </row>
    <row r="702" spans="1:11" x14ac:dyDescent="0.3">
      <c r="A702" s="1">
        <v>44979</v>
      </c>
      <c r="B702" t="s">
        <v>21</v>
      </c>
      <c r="C702" t="s">
        <v>12</v>
      </c>
      <c r="D702" t="s">
        <v>28</v>
      </c>
      <c r="E702" t="s">
        <v>14</v>
      </c>
      <c r="F702" t="s">
        <v>16</v>
      </c>
      <c r="G702">
        <v>61.87</v>
      </c>
      <c r="H702">
        <v>16</v>
      </c>
      <c r="I702">
        <v>409.25</v>
      </c>
      <c r="J702">
        <v>3</v>
      </c>
      <c r="K702">
        <v>244.82</v>
      </c>
    </row>
    <row r="703" spans="1:11" x14ac:dyDescent="0.3">
      <c r="A703" s="1">
        <v>45185</v>
      </c>
      <c r="B703" t="s">
        <v>23</v>
      </c>
      <c r="C703" t="s">
        <v>29</v>
      </c>
      <c r="D703" t="s">
        <v>19</v>
      </c>
      <c r="E703" t="s">
        <v>14</v>
      </c>
      <c r="F703" t="s">
        <v>26</v>
      </c>
      <c r="G703">
        <v>40.04</v>
      </c>
      <c r="H703">
        <v>13</v>
      </c>
      <c r="I703">
        <v>1149.01</v>
      </c>
      <c r="J703">
        <v>1</v>
      </c>
      <c r="K703">
        <v>1088.32</v>
      </c>
    </row>
    <row r="704" spans="1:11" x14ac:dyDescent="0.3">
      <c r="A704" s="1">
        <v>44951</v>
      </c>
      <c r="B704" t="s">
        <v>21</v>
      </c>
      <c r="C704" t="s">
        <v>18</v>
      </c>
      <c r="D704" t="s">
        <v>28</v>
      </c>
      <c r="E704" t="s">
        <v>14</v>
      </c>
      <c r="F704" t="s">
        <v>16</v>
      </c>
      <c r="G704">
        <v>15.25</v>
      </c>
      <c r="H704">
        <v>9</v>
      </c>
      <c r="I704">
        <v>767.65</v>
      </c>
      <c r="J704">
        <v>2</v>
      </c>
      <c r="K704">
        <v>683.86</v>
      </c>
    </row>
    <row r="705" spans="1:11" x14ac:dyDescent="0.3">
      <c r="A705" s="1">
        <v>45082</v>
      </c>
      <c r="B705" t="s">
        <v>17</v>
      </c>
      <c r="C705" t="s">
        <v>24</v>
      </c>
      <c r="D705" t="s">
        <v>19</v>
      </c>
      <c r="E705" t="s">
        <v>14</v>
      </c>
      <c r="F705" t="s">
        <v>15</v>
      </c>
      <c r="G705">
        <v>8.56</v>
      </c>
      <c r="H705">
        <v>12</v>
      </c>
      <c r="I705">
        <v>549.96</v>
      </c>
      <c r="J705">
        <v>0</v>
      </c>
      <c r="K705">
        <v>541.4</v>
      </c>
    </row>
    <row r="706" spans="1:11" x14ac:dyDescent="0.3">
      <c r="A706" s="1">
        <v>45171</v>
      </c>
      <c r="B706" t="s">
        <v>23</v>
      </c>
      <c r="C706" t="s">
        <v>12</v>
      </c>
      <c r="D706" t="s">
        <v>27</v>
      </c>
      <c r="E706" t="s">
        <v>14</v>
      </c>
      <c r="F706" t="s">
        <v>15</v>
      </c>
      <c r="G706">
        <v>58.92</v>
      </c>
      <c r="H706">
        <v>9</v>
      </c>
      <c r="I706">
        <v>739.5</v>
      </c>
      <c r="J706">
        <v>1</v>
      </c>
      <c r="K706">
        <v>647.24</v>
      </c>
    </row>
    <row r="707" spans="1:11" x14ac:dyDescent="0.3">
      <c r="A707" s="1">
        <v>44990</v>
      </c>
      <c r="B707" t="s">
        <v>11</v>
      </c>
      <c r="C707" t="s">
        <v>24</v>
      </c>
      <c r="D707" t="s">
        <v>27</v>
      </c>
      <c r="E707" t="s">
        <v>14</v>
      </c>
      <c r="F707" t="s">
        <v>26</v>
      </c>
      <c r="G707">
        <v>107.4</v>
      </c>
      <c r="H707">
        <v>2</v>
      </c>
      <c r="I707">
        <v>23.87</v>
      </c>
      <c r="J707">
        <v>0</v>
      </c>
      <c r="K707">
        <v>-83.53</v>
      </c>
    </row>
    <row r="708" spans="1:11" x14ac:dyDescent="0.3">
      <c r="A708" s="1">
        <v>45046</v>
      </c>
      <c r="B708" t="s">
        <v>11</v>
      </c>
      <c r="C708" t="s">
        <v>18</v>
      </c>
      <c r="D708" t="s">
        <v>28</v>
      </c>
      <c r="E708" t="s">
        <v>20</v>
      </c>
      <c r="F708" t="s">
        <v>22</v>
      </c>
      <c r="G708">
        <v>11.18</v>
      </c>
      <c r="H708">
        <v>1</v>
      </c>
      <c r="I708">
        <v>79.900000000000006</v>
      </c>
      <c r="J708">
        <v>1</v>
      </c>
      <c r="K708">
        <v>23.39</v>
      </c>
    </row>
    <row r="709" spans="1:11" x14ac:dyDescent="0.3">
      <c r="A709" s="1">
        <v>44939</v>
      </c>
      <c r="B709" t="s">
        <v>21</v>
      </c>
      <c r="C709" t="s">
        <v>29</v>
      </c>
      <c r="D709" t="s">
        <v>13</v>
      </c>
      <c r="E709" t="s">
        <v>14</v>
      </c>
      <c r="F709" t="s">
        <v>15</v>
      </c>
      <c r="G709">
        <v>10.77</v>
      </c>
      <c r="H709">
        <v>12</v>
      </c>
      <c r="I709">
        <v>372.56</v>
      </c>
      <c r="J709">
        <v>1</v>
      </c>
      <c r="K709">
        <v>327.89</v>
      </c>
    </row>
    <row r="710" spans="1:11" x14ac:dyDescent="0.3">
      <c r="A710" s="1">
        <v>45126</v>
      </c>
      <c r="B710" t="s">
        <v>17</v>
      </c>
      <c r="C710" t="s">
        <v>24</v>
      </c>
      <c r="D710" t="s">
        <v>28</v>
      </c>
      <c r="E710" t="s">
        <v>20</v>
      </c>
      <c r="F710" t="s">
        <v>26</v>
      </c>
      <c r="G710">
        <v>88.44</v>
      </c>
      <c r="H710">
        <v>5</v>
      </c>
      <c r="I710">
        <v>360.17</v>
      </c>
      <c r="J710">
        <v>1</v>
      </c>
      <c r="K710">
        <v>251.59</v>
      </c>
    </row>
    <row r="711" spans="1:11" x14ac:dyDescent="0.3">
      <c r="A711" s="1">
        <v>45286</v>
      </c>
      <c r="B711" t="s">
        <v>21</v>
      </c>
      <c r="C711" t="s">
        <v>24</v>
      </c>
      <c r="D711" t="s">
        <v>27</v>
      </c>
      <c r="E711" t="s">
        <v>20</v>
      </c>
      <c r="F711" t="s">
        <v>22</v>
      </c>
      <c r="G711">
        <v>166.96</v>
      </c>
      <c r="H711">
        <v>7</v>
      </c>
      <c r="I711">
        <v>325.18</v>
      </c>
      <c r="J711">
        <v>1</v>
      </c>
      <c r="K711">
        <v>152.19</v>
      </c>
    </row>
    <row r="712" spans="1:11" x14ac:dyDescent="0.3">
      <c r="A712" s="1">
        <v>45283</v>
      </c>
      <c r="B712" t="s">
        <v>21</v>
      </c>
      <c r="C712" t="s">
        <v>12</v>
      </c>
      <c r="D712" t="s">
        <v>19</v>
      </c>
      <c r="E712" t="s">
        <v>14</v>
      </c>
      <c r="F712" t="s">
        <v>15</v>
      </c>
      <c r="G712">
        <v>184.9</v>
      </c>
      <c r="H712">
        <v>17</v>
      </c>
      <c r="I712">
        <v>1643.42</v>
      </c>
      <c r="J712">
        <v>1</v>
      </c>
      <c r="K712">
        <v>1420.22</v>
      </c>
    </row>
    <row r="713" spans="1:11" x14ac:dyDescent="0.3">
      <c r="A713" s="1">
        <v>45198</v>
      </c>
      <c r="B713" t="s">
        <v>23</v>
      </c>
      <c r="C713" t="s">
        <v>12</v>
      </c>
      <c r="D713" t="s">
        <v>27</v>
      </c>
      <c r="E713" t="s">
        <v>14</v>
      </c>
      <c r="F713" t="s">
        <v>26</v>
      </c>
      <c r="G713">
        <v>105.81</v>
      </c>
      <c r="H713">
        <v>6</v>
      </c>
      <c r="I713">
        <v>573.92999999999995</v>
      </c>
      <c r="J713">
        <v>3</v>
      </c>
      <c r="K713">
        <v>391.83</v>
      </c>
    </row>
    <row r="714" spans="1:11" x14ac:dyDescent="0.3">
      <c r="A714" s="1">
        <v>45168</v>
      </c>
      <c r="B714" t="s">
        <v>17</v>
      </c>
      <c r="C714" t="s">
        <v>29</v>
      </c>
      <c r="D714" t="s">
        <v>25</v>
      </c>
      <c r="E714" t="s">
        <v>20</v>
      </c>
      <c r="F714" t="s">
        <v>26</v>
      </c>
      <c r="G714">
        <v>145.44999999999999</v>
      </c>
      <c r="H714">
        <v>16</v>
      </c>
      <c r="I714">
        <v>1472.4</v>
      </c>
      <c r="J714">
        <v>1</v>
      </c>
      <c r="K714">
        <v>1312.28</v>
      </c>
    </row>
    <row r="715" spans="1:11" x14ac:dyDescent="0.3">
      <c r="A715" s="1">
        <v>45205</v>
      </c>
      <c r="B715" t="s">
        <v>23</v>
      </c>
      <c r="C715" t="s">
        <v>24</v>
      </c>
      <c r="D715" t="s">
        <v>27</v>
      </c>
      <c r="E715" t="s">
        <v>20</v>
      </c>
      <c r="F715" t="s">
        <v>15</v>
      </c>
      <c r="G715">
        <v>159.79</v>
      </c>
      <c r="H715">
        <v>3</v>
      </c>
      <c r="I715">
        <v>222.07</v>
      </c>
      <c r="J715">
        <v>2</v>
      </c>
      <c r="K715">
        <v>-25.37</v>
      </c>
    </row>
    <row r="716" spans="1:11" x14ac:dyDescent="0.3">
      <c r="A716" s="1">
        <v>45011</v>
      </c>
      <c r="B716" t="s">
        <v>11</v>
      </c>
      <c r="C716" t="s">
        <v>18</v>
      </c>
      <c r="D716" t="s">
        <v>28</v>
      </c>
      <c r="E716" t="s">
        <v>14</v>
      </c>
      <c r="F716" t="s">
        <v>16</v>
      </c>
      <c r="G716">
        <v>134.72</v>
      </c>
      <c r="H716">
        <v>6</v>
      </c>
      <c r="I716">
        <v>436.13</v>
      </c>
      <c r="J716">
        <v>1</v>
      </c>
      <c r="K716">
        <v>292.83999999999997</v>
      </c>
    </row>
    <row r="717" spans="1:11" x14ac:dyDescent="0.3">
      <c r="A717" s="1">
        <v>44950</v>
      </c>
      <c r="B717" t="s">
        <v>21</v>
      </c>
      <c r="C717" t="s">
        <v>29</v>
      </c>
      <c r="D717" t="s">
        <v>25</v>
      </c>
      <c r="E717" t="s">
        <v>14</v>
      </c>
      <c r="F717" t="s">
        <v>15</v>
      </c>
      <c r="G717">
        <v>147.62</v>
      </c>
      <c r="H717">
        <v>7</v>
      </c>
      <c r="I717">
        <v>75.06</v>
      </c>
      <c r="J717">
        <v>1</v>
      </c>
      <c r="K717">
        <v>-92.06</v>
      </c>
    </row>
    <row r="718" spans="1:11" x14ac:dyDescent="0.3">
      <c r="A718" s="1">
        <v>45251</v>
      </c>
      <c r="B718" t="s">
        <v>23</v>
      </c>
      <c r="C718" t="s">
        <v>18</v>
      </c>
      <c r="D718" t="s">
        <v>28</v>
      </c>
      <c r="E718" t="s">
        <v>20</v>
      </c>
      <c r="F718" t="s">
        <v>16</v>
      </c>
      <c r="G718">
        <v>58.09</v>
      </c>
      <c r="H718">
        <v>13</v>
      </c>
      <c r="I718">
        <v>1037.05</v>
      </c>
      <c r="J718">
        <v>1</v>
      </c>
      <c r="K718">
        <v>951.55</v>
      </c>
    </row>
    <row r="719" spans="1:11" x14ac:dyDescent="0.3">
      <c r="A719" s="1">
        <v>45044</v>
      </c>
      <c r="B719" t="s">
        <v>11</v>
      </c>
      <c r="C719" t="s">
        <v>29</v>
      </c>
      <c r="D719" t="s">
        <v>19</v>
      </c>
      <c r="E719" t="s">
        <v>20</v>
      </c>
      <c r="F719" t="s">
        <v>22</v>
      </c>
      <c r="G719">
        <v>173.31</v>
      </c>
      <c r="H719">
        <v>4</v>
      </c>
      <c r="I719">
        <v>350.07</v>
      </c>
      <c r="J719">
        <v>1</v>
      </c>
      <c r="K719">
        <v>169.43</v>
      </c>
    </row>
    <row r="720" spans="1:11" x14ac:dyDescent="0.3">
      <c r="A720" s="1">
        <v>45223</v>
      </c>
      <c r="B720" t="s">
        <v>23</v>
      </c>
      <c r="C720" t="s">
        <v>29</v>
      </c>
      <c r="D720" t="s">
        <v>19</v>
      </c>
      <c r="E720" t="s">
        <v>20</v>
      </c>
      <c r="F720" t="s">
        <v>26</v>
      </c>
      <c r="G720">
        <v>128.94</v>
      </c>
      <c r="H720">
        <v>10</v>
      </c>
      <c r="I720">
        <v>888.76</v>
      </c>
      <c r="J720">
        <v>2</v>
      </c>
      <c r="K720">
        <v>740.77</v>
      </c>
    </row>
    <row r="721" spans="1:11" x14ac:dyDescent="0.3">
      <c r="A721" s="1">
        <v>45288</v>
      </c>
      <c r="B721" t="s">
        <v>21</v>
      </c>
      <c r="C721" t="s">
        <v>29</v>
      </c>
      <c r="D721" t="s">
        <v>28</v>
      </c>
      <c r="E721" t="s">
        <v>20</v>
      </c>
      <c r="F721" t="s">
        <v>15</v>
      </c>
      <c r="G721">
        <v>91.25</v>
      </c>
      <c r="H721">
        <v>15</v>
      </c>
      <c r="I721">
        <v>626.87</v>
      </c>
      <c r="J721">
        <v>0</v>
      </c>
      <c r="K721">
        <v>535.62</v>
      </c>
    </row>
    <row r="722" spans="1:11" x14ac:dyDescent="0.3">
      <c r="A722" s="1">
        <v>45235</v>
      </c>
      <c r="B722" t="s">
        <v>23</v>
      </c>
      <c r="C722" t="s">
        <v>12</v>
      </c>
      <c r="D722" t="s">
        <v>13</v>
      </c>
      <c r="E722" t="s">
        <v>14</v>
      </c>
      <c r="F722" t="s">
        <v>16</v>
      </c>
      <c r="G722">
        <v>85.1</v>
      </c>
      <c r="H722">
        <v>9</v>
      </c>
      <c r="I722">
        <v>548.38</v>
      </c>
      <c r="J722">
        <v>0</v>
      </c>
      <c r="K722">
        <v>463.28</v>
      </c>
    </row>
    <row r="723" spans="1:11" x14ac:dyDescent="0.3">
      <c r="A723" s="1">
        <v>44950</v>
      </c>
      <c r="B723" t="s">
        <v>21</v>
      </c>
      <c r="C723" t="s">
        <v>24</v>
      </c>
      <c r="D723" t="s">
        <v>19</v>
      </c>
      <c r="E723" t="s">
        <v>20</v>
      </c>
      <c r="F723" t="s">
        <v>22</v>
      </c>
      <c r="G723">
        <v>76.02</v>
      </c>
      <c r="H723">
        <v>14</v>
      </c>
      <c r="I723">
        <v>166.56</v>
      </c>
      <c r="J723">
        <v>2</v>
      </c>
      <c r="K723">
        <v>32.29</v>
      </c>
    </row>
    <row r="724" spans="1:11" x14ac:dyDescent="0.3">
      <c r="A724" s="1">
        <v>45140</v>
      </c>
      <c r="B724" t="s">
        <v>17</v>
      </c>
      <c r="C724" t="s">
        <v>12</v>
      </c>
      <c r="D724" t="s">
        <v>27</v>
      </c>
      <c r="E724" t="s">
        <v>20</v>
      </c>
      <c r="F724" t="s">
        <v>26</v>
      </c>
      <c r="G724">
        <v>165.84</v>
      </c>
      <c r="H724">
        <v>12</v>
      </c>
      <c r="I724">
        <v>1111.44</v>
      </c>
      <c r="J724">
        <v>3</v>
      </c>
      <c r="K724">
        <v>800.48</v>
      </c>
    </row>
    <row r="725" spans="1:11" x14ac:dyDescent="0.3">
      <c r="A725" s="1">
        <v>44932</v>
      </c>
      <c r="B725" t="s">
        <v>21</v>
      </c>
      <c r="C725" t="s">
        <v>18</v>
      </c>
      <c r="D725" t="s">
        <v>13</v>
      </c>
      <c r="E725" t="s">
        <v>20</v>
      </c>
      <c r="F725" t="s">
        <v>26</v>
      </c>
      <c r="G725">
        <v>132.97999999999999</v>
      </c>
      <c r="H725">
        <v>1</v>
      </c>
      <c r="I725">
        <v>95.4</v>
      </c>
      <c r="J725">
        <v>1</v>
      </c>
      <c r="K725">
        <v>-67.38</v>
      </c>
    </row>
    <row r="726" spans="1:11" x14ac:dyDescent="0.3">
      <c r="A726" s="1">
        <v>44974</v>
      </c>
      <c r="B726" t="s">
        <v>21</v>
      </c>
      <c r="C726" t="s">
        <v>29</v>
      </c>
      <c r="D726" t="s">
        <v>28</v>
      </c>
      <c r="E726" t="s">
        <v>20</v>
      </c>
      <c r="F726" t="s">
        <v>15</v>
      </c>
      <c r="G726">
        <v>9.77</v>
      </c>
      <c r="H726">
        <v>12</v>
      </c>
      <c r="I726">
        <v>849.81</v>
      </c>
      <c r="J726">
        <v>2</v>
      </c>
      <c r="K726">
        <v>752.45</v>
      </c>
    </row>
    <row r="727" spans="1:11" x14ac:dyDescent="0.3">
      <c r="A727" s="1">
        <v>45248</v>
      </c>
      <c r="B727" t="s">
        <v>23</v>
      </c>
      <c r="C727" t="s">
        <v>24</v>
      </c>
      <c r="D727" t="s">
        <v>27</v>
      </c>
      <c r="E727" t="s">
        <v>20</v>
      </c>
      <c r="F727" t="s">
        <v>22</v>
      </c>
      <c r="G727">
        <v>56.33</v>
      </c>
      <c r="H727">
        <v>12</v>
      </c>
      <c r="I727">
        <v>492.17</v>
      </c>
      <c r="J727">
        <v>2</v>
      </c>
      <c r="K727">
        <v>347.73</v>
      </c>
    </row>
    <row r="728" spans="1:11" x14ac:dyDescent="0.3">
      <c r="A728" s="1">
        <v>45281</v>
      </c>
      <c r="B728" t="s">
        <v>21</v>
      </c>
      <c r="C728" t="s">
        <v>24</v>
      </c>
      <c r="D728" t="s">
        <v>28</v>
      </c>
      <c r="E728" t="s">
        <v>14</v>
      </c>
      <c r="F728" t="s">
        <v>22</v>
      </c>
      <c r="G728">
        <v>113.41</v>
      </c>
      <c r="H728">
        <v>7</v>
      </c>
      <c r="I728">
        <v>420.16</v>
      </c>
      <c r="J728">
        <v>3</v>
      </c>
      <c r="K728">
        <v>288.23</v>
      </c>
    </row>
    <row r="729" spans="1:11" x14ac:dyDescent="0.3">
      <c r="A729" s="1">
        <v>45269</v>
      </c>
      <c r="B729" t="s">
        <v>21</v>
      </c>
      <c r="C729" t="s">
        <v>18</v>
      </c>
      <c r="D729" t="s">
        <v>25</v>
      </c>
      <c r="E729" t="s">
        <v>14</v>
      </c>
      <c r="F729" t="s">
        <v>22</v>
      </c>
      <c r="G729">
        <v>137.09</v>
      </c>
      <c r="H729">
        <v>12</v>
      </c>
      <c r="I729">
        <v>522.45000000000005</v>
      </c>
      <c r="J729">
        <v>3</v>
      </c>
      <c r="K729">
        <v>260.98</v>
      </c>
    </row>
    <row r="730" spans="1:11" x14ac:dyDescent="0.3">
      <c r="A730" s="1">
        <v>45113</v>
      </c>
      <c r="B730" t="s">
        <v>17</v>
      </c>
      <c r="C730" t="s">
        <v>18</v>
      </c>
      <c r="D730" t="s">
        <v>13</v>
      </c>
      <c r="E730" t="s">
        <v>14</v>
      </c>
      <c r="F730" t="s">
        <v>15</v>
      </c>
      <c r="G730">
        <v>168.63</v>
      </c>
      <c r="H730">
        <v>15</v>
      </c>
      <c r="I730">
        <v>203.57</v>
      </c>
      <c r="J730">
        <v>1</v>
      </c>
      <c r="K730">
        <v>18.28</v>
      </c>
    </row>
    <row r="731" spans="1:11" x14ac:dyDescent="0.3">
      <c r="A731" s="1">
        <v>45116</v>
      </c>
      <c r="B731" t="s">
        <v>17</v>
      </c>
      <c r="C731" t="s">
        <v>18</v>
      </c>
      <c r="D731" t="s">
        <v>27</v>
      </c>
      <c r="E731" t="s">
        <v>20</v>
      </c>
      <c r="F731" t="s">
        <v>15</v>
      </c>
      <c r="G731">
        <v>131.04</v>
      </c>
      <c r="H731">
        <v>11</v>
      </c>
      <c r="I731">
        <v>715.69</v>
      </c>
      <c r="J731">
        <v>2</v>
      </c>
      <c r="K731">
        <v>507</v>
      </c>
    </row>
    <row r="732" spans="1:11" x14ac:dyDescent="0.3">
      <c r="A732" s="1">
        <v>45248</v>
      </c>
      <c r="B732" t="s">
        <v>23</v>
      </c>
      <c r="C732" t="s">
        <v>24</v>
      </c>
      <c r="D732" t="s">
        <v>19</v>
      </c>
      <c r="E732" t="s">
        <v>20</v>
      </c>
      <c r="F732" t="s">
        <v>15</v>
      </c>
      <c r="G732">
        <v>157.77000000000001</v>
      </c>
      <c r="H732">
        <v>4</v>
      </c>
      <c r="I732">
        <v>270.56</v>
      </c>
      <c r="J732">
        <v>0</v>
      </c>
      <c r="K732">
        <v>112.79</v>
      </c>
    </row>
    <row r="733" spans="1:11" x14ac:dyDescent="0.3">
      <c r="A733" s="1">
        <v>45060</v>
      </c>
      <c r="B733" t="s">
        <v>11</v>
      </c>
      <c r="C733" t="s">
        <v>12</v>
      </c>
      <c r="D733" t="s">
        <v>13</v>
      </c>
      <c r="E733" t="s">
        <v>14</v>
      </c>
      <c r="F733" t="s">
        <v>16</v>
      </c>
      <c r="G733">
        <v>62.91</v>
      </c>
      <c r="H733">
        <v>1</v>
      </c>
      <c r="I733">
        <v>54.18</v>
      </c>
      <c r="J733">
        <v>0</v>
      </c>
      <c r="K733">
        <v>-8.73</v>
      </c>
    </row>
    <row r="734" spans="1:11" x14ac:dyDescent="0.3">
      <c r="A734" s="1">
        <v>45270</v>
      </c>
      <c r="B734" t="s">
        <v>21</v>
      </c>
      <c r="C734" t="s">
        <v>12</v>
      </c>
      <c r="D734" t="s">
        <v>13</v>
      </c>
      <c r="E734" t="s">
        <v>20</v>
      </c>
      <c r="F734" t="s">
        <v>22</v>
      </c>
      <c r="G734">
        <v>114.46</v>
      </c>
      <c r="H734">
        <v>16</v>
      </c>
      <c r="I734">
        <v>478.74</v>
      </c>
      <c r="J734">
        <v>1</v>
      </c>
      <c r="K734">
        <v>329.42</v>
      </c>
    </row>
    <row r="735" spans="1:11" x14ac:dyDescent="0.3">
      <c r="A735" s="1">
        <v>45079</v>
      </c>
      <c r="B735" t="s">
        <v>17</v>
      </c>
      <c r="C735" t="s">
        <v>29</v>
      </c>
      <c r="D735" t="s">
        <v>19</v>
      </c>
      <c r="E735" t="s">
        <v>20</v>
      </c>
      <c r="F735" t="s">
        <v>16</v>
      </c>
      <c r="G735">
        <v>84.37</v>
      </c>
      <c r="H735">
        <v>10</v>
      </c>
      <c r="I735">
        <v>432.76</v>
      </c>
      <c r="J735">
        <v>1</v>
      </c>
      <c r="K735">
        <v>319.08</v>
      </c>
    </row>
    <row r="736" spans="1:11" x14ac:dyDescent="0.3">
      <c r="A736" s="1">
        <v>45178</v>
      </c>
      <c r="B736" t="s">
        <v>23</v>
      </c>
      <c r="C736" t="s">
        <v>24</v>
      </c>
      <c r="D736" t="s">
        <v>27</v>
      </c>
      <c r="E736" t="s">
        <v>20</v>
      </c>
      <c r="F736" t="s">
        <v>22</v>
      </c>
      <c r="G736">
        <v>116.96</v>
      </c>
      <c r="H736">
        <v>19</v>
      </c>
      <c r="I736">
        <v>1749.64</v>
      </c>
      <c r="J736">
        <v>1</v>
      </c>
      <c r="K736">
        <v>1592.29</v>
      </c>
    </row>
    <row r="737" spans="1:11" x14ac:dyDescent="0.3">
      <c r="A737" s="1">
        <v>45088</v>
      </c>
      <c r="B737" t="s">
        <v>17</v>
      </c>
      <c r="C737" t="s">
        <v>12</v>
      </c>
      <c r="D737" t="s">
        <v>25</v>
      </c>
      <c r="E737" t="s">
        <v>20</v>
      </c>
      <c r="F737" t="s">
        <v>16</v>
      </c>
      <c r="G737">
        <v>98.91</v>
      </c>
      <c r="H737">
        <v>5</v>
      </c>
      <c r="I737">
        <v>320.92</v>
      </c>
      <c r="J737">
        <v>0</v>
      </c>
      <c r="K737">
        <v>222.01</v>
      </c>
    </row>
    <row r="738" spans="1:11" x14ac:dyDescent="0.3">
      <c r="A738" s="1">
        <v>45216</v>
      </c>
      <c r="B738" t="s">
        <v>23</v>
      </c>
      <c r="C738" t="s">
        <v>24</v>
      </c>
      <c r="D738" t="s">
        <v>27</v>
      </c>
      <c r="E738" t="s">
        <v>14</v>
      </c>
      <c r="F738" t="s">
        <v>15</v>
      </c>
      <c r="G738">
        <v>178.11</v>
      </c>
      <c r="H738">
        <v>17</v>
      </c>
      <c r="I738">
        <v>795.03</v>
      </c>
      <c r="J738">
        <v>2</v>
      </c>
      <c r="K738">
        <v>556.94000000000005</v>
      </c>
    </row>
    <row r="739" spans="1:11" x14ac:dyDescent="0.3">
      <c r="A739" s="1">
        <v>45260</v>
      </c>
      <c r="B739" t="s">
        <v>23</v>
      </c>
      <c r="C739" t="s">
        <v>18</v>
      </c>
      <c r="D739" t="s">
        <v>25</v>
      </c>
      <c r="E739" t="s">
        <v>14</v>
      </c>
      <c r="F739" t="s">
        <v>22</v>
      </c>
      <c r="G739">
        <v>61.54</v>
      </c>
      <c r="H739">
        <v>2</v>
      </c>
      <c r="I739">
        <v>194.81</v>
      </c>
      <c r="J739">
        <v>2</v>
      </c>
      <c r="K739">
        <v>103.21</v>
      </c>
    </row>
    <row r="740" spans="1:11" x14ac:dyDescent="0.3">
      <c r="A740" s="1">
        <v>45285</v>
      </c>
      <c r="B740" t="s">
        <v>21</v>
      </c>
      <c r="C740" t="s">
        <v>18</v>
      </c>
      <c r="D740" t="s">
        <v>19</v>
      </c>
      <c r="E740" t="s">
        <v>20</v>
      </c>
      <c r="F740" t="s">
        <v>16</v>
      </c>
      <c r="G740">
        <v>88.69</v>
      </c>
      <c r="H740">
        <v>11</v>
      </c>
      <c r="I740">
        <v>441.6</v>
      </c>
      <c r="J740">
        <v>0</v>
      </c>
      <c r="K740">
        <v>352.91</v>
      </c>
    </row>
    <row r="741" spans="1:11" x14ac:dyDescent="0.3">
      <c r="A741" s="1">
        <v>44971</v>
      </c>
      <c r="B741" t="s">
        <v>21</v>
      </c>
      <c r="C741" t="s">
        <v>29</v>
      </c>
      <c r="D741" t="s">
        <v>25</v>
      </c>
      <c r="E741" t="s">
        <v>20</v>
      </c>
      <c r="F741" t="s">
        <v>15</v>
      </c>
      <c r="G741">
        <v>9.32</v>
      </c>
      <c r="H741">
        <v>17</v>
      </c>
      <c r="I741">
        <v>596.38</v>
      </c>
      <c r="J741">
        <v>0</v>
      </c>
      <c r="K741">
        <v>587.05999999999995</v>
      </c>
    </row>
    <row r="742" spans="1:11" x14ac:dyDescent="0.3">
      <c r="A742" s="1">
        <v>44991</v>
      </c>
      <c r="B742" t="s">
        <v>11</v>
      </c>
      <c r="C742" t="s">
        <v>24</v>
      </c>
      <c r="D742" t="s">
        <v>19</v>
      </c>
      <c r="E742" t="s">
        <v>20</v>
      </c>
      <c r="F742" t="s">
        <v>22</v>
      </c>
      <c r="G742">
        <v>11.4</v>
      </c>
      <c r="H742">
        <v>3</v>
      </c>
      <c r="I742">
        <v>286.98</v>
      </c>
      <c r="J742">
        <v>3</v>
      </c>
      <c r="K742">
        <v>191.36</v>
      </c>
    </row>
    <row r="743" spans="1:11" x14ac:dyDescent="0.3">
      <c r="A743" s="1">
        <v>45100</v>
      </c>
      <c r="B743" t="s">
        <v>17</v>
      </c>
      <c r="C743" t="s">
        <v>24</v>
      </c>
      <c r="D743" t="s">
        <v>25</v>
      </c>
      <c r="E743" t="s">
        <v>20</v>
      </c>
      <c r="F743" t="s">
        <v>26</v>
      </c>
      <c r="G743">
        <v>8.91</v>
      </c>
      <c r="H743">
        <v>15</v>
      </c>
      <c r="I743">
        <v>1443.96</v>
      </c>
      <c r="J743">
        <v>1</v>
      </c>
      <c r="K743">
        <v>1416.48</v>
      </c>
    </row>
    <row r="744" spans="1:11" x14ac:dyDescent="0.3">
      <c r="A744" s="1">
        <v>45169</v>
      </c>
      <c r="B744" t="s">
        <v>17</v>
      </c>
      <c r="C744" t="s">
        <v>24</v>
      </c>
      <c r="D744" t="s">
        <v>25</v>
      </c>
      <c r="E744" t="s">
        <v>20</v>
      </c>
      <c r="F744" t="s">
        <v>26</v>
      </c>
      <c r="G744">
        <v>101.48</v>
      </c>
      <c r="H744">
        <v>5</v>
      </c>
      <c r="I744">
        <v>147.16999999999999</v>
      </c>
      <c r="J744">
        <v>3</v>
      </c>
      <c r="K744">
        <v>6.61</v>
      </c>
    </row>
    <row r="745" spans="1:11" x14ac:dyDescent="0.3">
      <c r="A745" s="1">
        <v>44980</v>
      </c>
      <c r="B745" t="s">
        <v>21</v>
      </c>
      <c r="C745" t="s">
        <v>29</v>
      </c>
      <c r="D745" t="s">
        <v>28</v>
      </c>
      <c r="E745" t="s">
        <v>14</v>
      </c>
      <c r="F745" t="s">
        <v>16</v>
      </c>
      <c r="G745">
        <v>147.21</v>
      </c>
      <c r="H745">
        <v>8</v>
      </c>
      <c r="I745">
        <v>515.44000000000005</v>
      </c>
      <c r="J745">
        <v>2</v>
      </c>
      <c r="K745">
        <v>307.95</v>
      </c>
    </row>
    <row r="746" spans="1:11" x14ac:dyDescent="0.3">
      <c r="A746" s="1">
        <v>45043</v>
      </c>
      <c r="B746" t="s">
        <v>11</v>
      </c>
      <c r="C746" t="s">
        <v>12</v>
      </c>
      <c r="D746" t="s">
        <v>13</v>
      </c>
      <c r="E746" t="s">
        <v>14</v>
      </c>
      <c r="F746" t="s">
        <v>22</v>
      </c>
      <c r="G746">
        <v>88.47</v>
      </c>
      <c r="H746">
        <v>9</v>
      </c>
      <c r="I746">
        <v>705.24</v>
      </c>
      <c r="J746">
        <v>1</v>
      </c>
      <c r="K746">
        <v>593.34</v>
      </c>
    </row>
    <row r="747" spans="1:11" x14ac:dyDescent="0.3">
      <c r="A747" s="1">
        <v>44943</v>
      </c>
      <c r="B747" t="s">
        <v>21</v>
      </c>
      <c r="C747" t="s">
        <v>12</v>
      </c>
      <c r="D747" t="s">
        <v>27</v>
      </c>
      <c r="E747" t="s">
        <v>14</v>
      </c>
      <c r="F747" t="s">
        <v>26</v>
      </c>
      <c r="G747">
        <v>166.66</v>
      </c>
      <c r="H747">
        <v>20</v>
      </c>
      <c r="I747">
        <v>1379.13</v>
      </c>
      <c r="J747">
        <v>0</v>
      </c>
      <c r="K747">
        <v>1212.47</v>
      </c>
    </row>
    <row r="748" spans="1:11" x14ac:dyDescent="0.3">
      <c r="A748" s="1">
        <v>44999</v>
      </c>
      <c r="B748" t="s">
        <v>11</v>
      </c>
      <c r="C748" t="s">
        <v>18</v>
      </c>
      <c r="D748" t="s">
        <v>28</v>
      </c>
      <c r="E748" t="s">
        <v>20</v>
      </c>
      <c r="F748" t="s">
        <v>22</v>
      </c>
      <c r="G748">
        <v>153.63</v>
      </c>
      <c r="H748">
        <v>3</v>
      </c>
      <c r="I748">
        <v>123.19</v>
      </c>
      <c r="J748">
        <v>2</v>
      </c>
      <c r="K748">
        <v>-130.36000000000001</v>
      </c>
    </row>
    <row r="749" spans="1:11" x14ac:dyDescent="0.3">
      <c r="A749" s="1">
        <v>45080</v>
      </c>
      <c r="B749" t="s">
        <v>17</v>
      </c>
      <c r="C749" t="s">
        <v>12</v>
      </c>
      <c r="D749" t="s">
        <v>27</v>
      </c>
      <c r="E749" t="s">
        <v>20</v>
      </c>
      <c r="F749" t="s">
        <v>22</v>
      </c>
      <c r="G749">
        <v>158.71</v>
      </c>
      <c r="H749">
        <v>3</v>
      </c>
      <c r="I749">
        <v>173.99</v>
      </c>
      <c r="J749">
        <v>2</v>
      </c>
      <c r="K749">
        <v>-38.83</v>
      </c>
    </row>
    <row r="750" spans="1:11" x14ac:dyDescent="0.3">
      <c r="A750" s="1">
        <v>45114</v>
      </c>
      <c r="B750" t="s">
        <v>17</v>
      </c>
      <c r="C750" t="s">
        <v>12</v>
      </c>
      <c r="D750" t="s">
        <v>27</v>
      </c>
      <c r="E750" t="s">
        <v>20</v>
      </c>
      <c r="F750" t="s">
        <v>22</v>
      </c>
      <c r="G750">
        <v>73.349999999999994</v>
      </c>
      <c r="H750">
        <v>17</v>
      </c>
      <c r="I750">
        <v>1650.43</v>
      </c>
      <c r="J750">
        <v>0</v>
      </c>
      <c r="K750">
        <v>1577.08</v>
      </c>
    </row>
    <row r="751" spans="1:11" x14ac:dyDescent="0.3">
      <c r="A751" s="1">
        <v>45183</v>
      </c>
      <c r="B751" t="s">
        <v>23</v>
      </c>
      <c r="C751" t="s">
        <v>12</v>
      </c>
      <c r="D751" t="s">
        <v>19</v>
      </c>
      <c r="E751" t="s">
        <v>14</v>
      </c>
      <c r="F751" t="s">
        <v>22</v>
      </c>
      <c r="G751">
        <v>155.04</v>
      </c>
      <c r="H751">
        <v>11</v>
      </c>
      <c r="I751">
        <v>781.92</v>
      </c>
      <c r="J751">
        <v>2</v>
      </c>
      <c r="K751">
        <v>581.79999999999995</v>
      </c>
    </row>
    <row r="752" spans="1:11" x14ac:dyDescent="0.3">
      <c r="A752" s="1">
        <v>45126</v>
      </c>
      <c r="B752" t="s">
        <v>17</v>
      </c>
      <c r="C752" t="s">
        <v>24</v>
      </c>
      <c r="D752" t="s">
        <v>25</v>
      </c>
      <c r="E752" t="s">
        <v>20</v>
      </c>
      <c r="F752" t="s">
        <v>16</v>
      </c>
      <c r="G752">
        <v>154.16999999999999</v>
      </c>
      <c r="H752">
        <v>2</v>
      </c>
      <c r="I752">
        <v>106.34</v>
      </c>
      <c r="J752">
        <v>0</v>
      </c>
      <c r="K752">
        <v>-47.83</v>
      </c>
    </row>
    <row r="753" spans="1:11" x14ac:dyDescent="0.3">
      <c r="A753" s="1">
        <v>45268</v>
      </c>
      <c r="B753" t="s">
        <v>21</v>
      </c>
      <c r="C753" t="s">
        <v>12</v>
      </c>
      <c r="D753" t="s">
        <v>25</v>
      </c>
      <c r="E753" t="s">
        <v>14</v>
      </c>
      <c r="F753" t="s">
        <v>22</v>
      </c>
      <c r="G753">
        <v>90.26</v>
      </c>
      <c r="H753">
        <v>17</v>
      </c>
      <c r="I753">
        <v>1093.8599999999999</v>
      </c>
      <c r="J753">
        <v>2</v>
      </c>
      <c r="K753">
        <v>956.44</v>
      </c>
    </row>
    <row r="754" spans="1:11" x14ac:dyDescent="0.3">
      <c r="A754" s="1">
        <v>44954</v>
      </c>
      <c r="B754" t="s">
        <v>21</v>
      </c>
      <c r="C754" t="s">
        <v>29</v>
      </c>
      <c r="D754" t="s">
        <v>27</v>
      </c>
      <c r="E754" t="s">
        <v>14</v>
      </c>
      <c r="F754" t="s">
        <v>16</v>
      </c>
      <c r="G754">
        <v>177.37</v>
      </c>
      <c r="H754">
        <v>19</v>
      </c>
      <c r="I754">
        <v>1316.87</v>
      </c>
      <c r="J754">
        <v>0</v>
      </c>
      <c r="K754">
        <v>1139.5</v>
      </c>
    </row>
    <row r="755" spans="1:11" x14ac:dyDescent="0.3">
      <c r="A755" s="1">
        <v>45218</v>
      </c>
      <c r="B755" t="s">
        <v>23</v>
      </c>
      <c r="C755" t="s">
        <v>24</v>
      </c>
      <c r="D755" t="s">
        <v>27</v>
      </c>
      <c r="E755" t="s">
        <v>20</v>
      </c>
      <c r="F755" t="s">
        <v>16</v>
      </c>
      <c r="G755">
        <v>94.63</v>
      </c>
      <c r="H755">
        <v>19</v>
      </c>
      <c r="I755">
        <v>486.12</v>
      </c>
      <c r="J755">
        <v>2</v>
      </c>
      <c r="K755">
        <v>322.85000000000002</v>
      </c>
    </row>
    <row r="756" spans="1:11" x14ac:dyDescent="0.3">
      <c r="A756" s="1">
        <v>45015</v>
      </c>
      <c r="B756" t="s">
        <v>11</v>
      </c>
      <c r="C756" t="s">
        <v>24</v>
      </c>
      <c r="D756" t="s">
        <v>13</v>
      </c>
      <c r="E756" t="s">
        <v>14</v>
      </c>
      <c r="F756" t="s">
        <v>16</v>
      </c>
      <c r="G756">
        <v>119.71</v>
      </c>
      <c r="H756">
        <v>13</v>
      </c>
      <c r="I756">
        <v>1073.52</v>
      </c>
      <c r="J756">
        <v>1</v>
      </c>
      <c r="K756">
        <v>915.07</v>
      </c>
    </row>
    <row r="757" spans="1:11" x14ac:dyDescent="0.3">
      <c r="A757" s="1">
        <v>45230</v>
      </c>
      <c r="B757" t="s">
        <v>23</v>
      </c>
      <c r="C757" t="s">
        <v>18</v>
      </c>
      <c r="D757" t="s">
        <v>27</v>
      </c>
      <c r="E757" t="s">
        <v>20</v>
      </c>
      <c r="F757" t="s">
        <v>26</v>
      </c>
      <c r="G757">
        <v>128.93</v>
      </c>
      <c r="H757">
        <v>15</v>
      </c>
      <c r="I757">
        <v>1262.78</v>
      </c>
      <c r="J757">
        <v>0</v>
      </c>
      <c r="K757">
        <v>1133.8499999999999</v>
      </c>
    </row>
    <row r="758" spans="1:11" x14ac:dyDescent="0.3">
      <c r="A758" s="1">
        <v>45215</v>
      </c>
      <c r="B758" t="s">
        <v>23</v>
      </c>
      <c r="C758" t="s">
        <v>29</v>
      </c>
      <c r="D758" t="s">
        <v>19</v>
      </c>
      <c r="E758" t="s">
        <v>20</v>
      </c>
      <c r="F758" t="s">
        <v>22</v>
      </c>
      <c r="G758">
        <v>148.34</v>
      </c>
      <c r="H758">
        <v>9</v>
      </c>
      <c r="I758">
        <v>399.9</v>
      </c>
      <c r="J758">
        <v>0</v>
      </c>
      <c r="K758">
        <v>251.56</v>
      </c>
    </row>
    <row r="759" spans="1:11" x14ac:dyDescent="0.3">
      <c r="A759" s="1">
        <v>44990</v>
      </c>
      <c r="B759" t="s">
        <v>11</v>
      </c>
      <c r="C759" t="s">
        <v>18</v>
      </c>
      <c r="D759" t="s">
        <v>19</v>
      </c>
      <c r="E759" t="s">
        <v>20</v>
      </c>
      <c r="F759" t="s">
        <v>15</v>
      </c>
      <c r="G759">
        <v>12.92</v>
      </c>
      <c r="H759">
        <v>17</v>
      </c>
      <c r="I759">
        <v>1389.06</v>
      </c>
      <c r="J759">
        <v>3</v>
      </c>
      <c r="K759">
        <v>1346.57</v>
      </c>
    </row>
    <row r="760" spans="1:11" x14ac:dyDescent="0.3">
      <c r="A760" s="1">
        <v>45223</v>
      </c>
      <c r="B760" t="s">
        <v>23</v>
      </c>
      <c r="C760" t="s">
        <v>12</v>
      </c>
      <c r="D760" t="s">
        <v>28</v>
      </c>
      <c r="E760" t="s">
        <v>14</v>
      </c>
      <c r="F760" t="s">
        <v>22</v>
      </c>
      <c r="G760">
        <v>186.28</v>
      </c>
      <c r="H760">
        <v>7</v>
      </c>
      <c r="I760">
        <v>661.77</v>
      </c>
      <c r="J760">
        <v>1</v>
      </c>
      <c r="K760">
        <v>458.95</v>
      </c>
    </row>
    <row r="761" spans="1:11" x14ac:dyDescent="0.3">
      <c r="A761" s="1">
        <v>45222</v>
      </c>
      <c r="B761" t="s">
        <v>23</v>
      </c>
      <c r="C761" t="s">
        <v>24</v>
      </c>
      <c r="D761" t="s">
        <v>25</v>
      </c>
      <c r="E761" t="s">
        <v>14</v>
      </c>
      <c r="F761" t="s">
        <v>15</v>
      </c>
      <c r="G761">
        <v>36.65</v>
      </c>
      <c r="H761">
        <v>10</v>
      </c>
      <c r="I761">
        <v>241.71</v>
      </c>
      <c r="J761">
        <v>3</v>
      </c>
      <c r="K761">
        <v>100.23</v>
      </c>
    </row>
    <row r="762" spans="1:11" x14ac:dyDescent="0.3">
      <c r="A762" s="1">
        <v>45233</v>
      </c>
      <c r="B762" t="s">
        <v>23</v>
      </c>
      <c r="C762" t="s">
        <v>12</v>
      </c>
      <c r="D762" t="s">
        <v>27</v>
      </c>
      <c r="E762" t="s">
        <v>14</v>
      </c>
      <c r="F762" t="s">
        <v>26</v>
      </c>
      <c r="G762">
        <v>106.19</v>
      </c>
      <c r="H762">
        <v>17</v>
      </c>
      <c r="I762">
        <v>843.98</v>
      </c>
      <c r="J762">
        <v>2</v>
      </c>
      <c r="K762">
        <v>693.38</v>
      </c>
    </row>
    <row r="763" spans="1:11" x14ac:dyDescent="0.3">
      <c r="A763" s="1">
        <v>45145</v>
      </c>
      <c r="B763" t="s">
        <v>17</v>
      </c>
      <c r="C763" t="s">
        <v>29</v>
      </c>
      <c r="D763" t="s">
        <v>19</v>
      </c>
      <c r="E763" t="s">
        <v>20</v>
      </c>
      <c r="F763" t="s">
        <v>16</v>
      </c>
      <c r="G763">
        <v>30.39</v>
      </c>
      <c r="H763">
        <v>7</v>
      </c>
      <c r="I763">
        <v>311.95999999999998</v>
      </c>
      <c r="J763">
        <v>2</v>
      </c>
      <c r="K763">
        <v>251.52</v>
      </c>
    </row>
    <row r="764" spans="1:11" x14ac:dyDescent="0.3">
      <c r="A764" s="1">
        <v>44928</v>
      </c>
      <c r="B764" t="s">
        <v>21</v>
      </c>
      <c r="C764" t="s">
        <v>18</v>
      </c>
      <c r="D764" t="s">
        <v>25</v>
      </c>
      <c r="E764" t="s">
        <v>20</v>
      </c>
      <c r="F764" t="s">
        <v>16</v>
      </c>
      <c r="G764">
        <v>110.67</v>
      </c>
      <c r="H764">
        <v>10</v>
      </c>
      <c r="I764">
        <v>948.22</v>
      </c>
      <c r="J764">
        <v>3</v>
      </c>
      <c r="K764">
        <v>707.43</v>
      </c>
    </row>
    <row r="765" spans="1:11" x14ac:dyDescent="0.3">
      <c r="A765" s="1">
        <v>44985</v>
      </c>
      <c r="B765" t="s">
        <v>21</v>
      </c>
      <c r="C765" t="s">
        <v>12</v>
      </c>
      <c r="D765" t="s">
        <v>25</v>
      </c>
      <c r="E765" t="s">
        <v>14</v>
      </c>
      <c r="F765" t="s">
        <v>26</v>
      </c>
      <c r="G765">
        <v>190.13</v>
      </c>
      <c r="H765">
        <v>19</v>
      </c>
      <c r="I765">
        <v>551.15</v>
      </c>
      <c r="J765">
        <v>1</v>
      </c>
      <c r="K765">
        <v>326.27</v>
      </c>
    </row>
    <row r="766" spans="1:11" x14ac:dyDescent="0.3">
      <c r="A766" s="1">
        <v>44968</v>
      </c>
      <c r="B766" t="s">
        <v>21</v>
      </c>
      <c r="C766" t="s">
        <v>18</v>
      </c>
      <c r="D766" t="s">
        <v>28</v>
      </c>
      <c r="E766" t="s">
        <v>20</v>
      </c>
      <c r="F766" t="s">
        <v>16</v>
      </c>
      <c r="G766">
        <v>154.72</v>
      </c>
      <c r="H766">
        <v>10</v>
      </c>
      <c r="I766">
        <v>675.41</v>
      </c>
      <c r="J766">
        <v>1</v>
      </c>
      <c r="K766">
        <v>473.23</v>
      </c>
    </row>
    <row r="767" spans="1:11" x14ac:dyDescent="0.3">
      <c r="A767" s="1">
        <v>45201</v>
      </c>
      <c r="B767" t="s">
        <v>23</v>
      </c>
      <c r="C767" t="s">
        <v>18</v>
      </c>
      <c r="D767" t="s">
        <v>25</v>
      </c>
      <c r="E767" t="s">
        <v>20</v>
      </c>
      <c r="F767" t="s">
        <v>16</v>
      </c>
      <c r="G767">
        <v>173.77</v>
      </c>
      <c r="H767">
        <v>16</v>
      </c>
      <c r="I767">
        <v>1260.27</v>
      </c>
      <c r="J767">
        <v>1</v>
      </c>
      <c r="K767">
        <v>1043.78</v>
      </c>
    </row>
    <row r="768" spans="1:11" x14ac:dyDescent="0.3">
      <c r="A768" s="1">
        <v>45169</v>
      </c>
      <c r="B768" t="s">
        <v>17</v>
      </c>
      <c r="C768" t="s">
        <v>18</v>
      </c>
      <c r="D768" t="s">
        <v>27</v>
      </c>
      <c r="E768" t="s">
        <v>20</v>
      </c>
      <c r="F768" t="s">
        <v>26</v>
      </c>
      <c r="G768">
        <v>154.34</v>
      </c>
      <c r="H768">
        <v>18</v>
      </c>
      <c r="I768">
        <v>709.04</v>
      </c>
      <c r="J768">
        <v>1</v>
      </c>
      <c r="K768">
        <v>514.30999999999995</v>
      </c>
    </row>
    <row r="769" spans="1:11" x14ac:dyDescent="0.3">
      <c r="A769" s="1">
        <v>44930</v>
      </c>
      <c r="B769" t="s">
        <v>21</v>
      </c>
      <c r="C769" t="s">
        <v>18</v>
      </c>
      <c r="D769" t="s">
        <v>28</v>
      </c>
      <c r="E769" t="s">
        <v>14</v>
      </c>
      <c r="F769" t="s">
        <v>16</v>
      </c>
      <c r="G769">
        <v>142.9</v>
      </c>
      <c r="H769">
        <v>3</v>
      </c>
      <c r="I769">
        <v>117.18</v>
      </c>
      <c r="J769">
        <v>0</v>
      </c>
      <c r="K769">
        <v>-25.72</v>
      </c>
    </row>
    <row r="770" spans="1:11" x14ac:dyDescent="0.3">
      <c r="A770" s="1">
        <v>45209</v>
      </c>
      <c r="B770" t="s">
        <v>23</v>
      </c>
      <c r="C770" t="s">
        <v>24</v>
      </c>
      <c r="D770" t="s">
        <v>27</v>
      </c>
      <c r="E770" t="s">
        <v>20</v>
      </c>
      <c r="F770" t="s">
        <v>22</v>
      </c>
      <c r="G770">
        <v>146.19999999999999</v>
      </c>
      <c r="H770">
        <v>17</v>
      </c>
      <c r="I770">
        <v>351.38</v>
      </c>
      <c r="J770">
        <v>3</v>
      </c>
      <c r="K770">
        <v>88.7</v>
      </c>
    </row>
    <row r="771" spans="1:11" x14ac:dyDescent="0.3">
      <c r="A771" s="1">
        <v>45149</v>
      </c>
      <c r="B771" t="s">
        <v>17</v>
      </c>
      <c r="C771" t="s">
        <v>24</v>
      </c>
      <c r="D771" t="s">
        <v>28</v>
      </c>
      <c r="E771" t="s">
        <v>20</v>
      </c>
      <c r="F771" t="s">
        <v>22</v>
      </c>
      <c r="G771">
        <v>157.18</v>
      </c>
      <c r="H771">
        <v>10</v>
      </c>
      <c r="I771">
        <v>473.44</v>
      </c>
      <c r="J771">
        <v>2</v>
      </c>
      <c r="K771">
        <v>246.98</v>
      </c>
    </row>
    <row r="772" spans="1:11" x14ac:dyDescent="0.3">
      <c r="A772" s="1">
        <v>45223</v>
      </c>
      <c r="B772" t="s">
        <v>23</v>
      </c>
      <c r="C772" t="s">
        <v>29</v>
      </c>
      <c r="D772" t="s">
        <v>27</v>
      </c>
      <c r="E772" t="s">
        <v>20</v>
      </c>
      <c r="F772" t="s">
        <v>16</v>
      </c>
      <c r="G772">
        <v>140.44999999999999</v>
      </c>
      <c r="H772">
        <v>11</v>
      </c>
      <c r="I772">
        <v>131.99</v>
      </c>
      <c r="J772">
        <v>0</v>
      </c>
      <c r="K772">
        <v>-8.4600000000000009</v>
      </c>
    </row>
    <row r="773" spans="1:11" x14ac:dyDescent="0.3">
      <c r="A773" s="1">
        <v>44959</v>
      </c>
      <c r="B773" t="s">
        <v>21</v>
      </c>
      <c r="C773" t="s">
        <v>29</v>
      </c>
      <c r="D773" t="s">
        <v>27</v>
      </c>
      <c r="E773" t="s">
        <v>14</v>
      </c>
      <c r="F773" t="s">
        <v>15</v>
      </c>
      <c r="G773">
        <v>166.3</v>
      </c>
      <c r="H773">
        <v>19</v>
      </c>
      <c r="I773">
        <v>1156.2</v>
      </c>
      <c r="J773">
        <v>2</v>
      </c>
      <c r="K773">
        <v>939.04</v>
      </c>
    </row>
    <row r="774" spans="1:11" x14ac:dyDescent="0.3">
      <c r="A774" s="1">
        <v>44967</v>
      </c>
      <c r="B774" t="s">
        <v>21</v>
      </c>
      <c r="C774" t="s">
        <v>18</v>
      </c>
      <c r="D774" t="s">
        <v>13</v>
      </c>
      <c r="E774" t="s">
        <v>20</v>
      </c>
      <c r="F774" t="s">
        <v>16</v>
      </c>
      <c r="G774">
        <v>198.29</v>
      </c>
      <c r="H774">
        <v>3</v>
      </c>
      <c r="I774">
        <v>85.83</v>
      </c>
      <c r="J774">
        <v>3</v>
      </c>
      <c r="K774">
        <v>-177.69</v>
      </c>
    </row>
    <row r="775" spans="1:11" x14ac:dyDescent="0.3">
      <c r="A775" s="1">
        <v>45197</v>
      </c>
      <c r="B775" t="s">
        <v>23</v>
      </c>
      <c r="C775" t="s">
        <v>12</v>
      </c>
      <c r="D775" t="s">
        <v>25</v>
      </c>
      <c r="E775" t="s">
        <v>14</v>
      </c>
      <c r="F775" t="s">
        <v>15</v>
      </c>
      <c r="G775">
        <v>105.88</v>
      </c>
      <c r="H775">
        <v>18</v>
      </c>
      <c r="I775">
        <v>1050.22</v>
      </c>
      <c r="J775">
        <v>0</v>
      </c>
      <c r="K775">
        <v>944.34</v>
      </c>
    </row>
    <row r="776" spans="1:11" x14ac:dyDescent="0.3">
      <c r="A776" s="1">
        <v>45003</v>
      </c>
      <c r="B776" t="s">
        <v>11</v>
      </c>
      <c r="C776" t="s">
        <v>29</v>
      </c>
      <c r="D776" t="s">
        <v>19</v>
      </c>
      <c r="E776" t="s">
        <v>14</v>
      </c>
      <c r="F776" t="s">
        <v>16</v>
      </c>
      <c r="G776">
        <v>159.44999999999999</v>
      </c>
      <c r="H776">
        <v>2</v>
      </c>
      <c r="I776">
        <v>184.56</v>
      </c>
      <c r="J776">
        <v>2</v>
      </c>
      <c r="K776">
        <v>-61.34</v>
      </c>
    </row>
    <row r="777" spans="1:11" x14ac:dyDescent="0.3">
      <c r="A777" s="1">
        <v>45275</v>
      </c>
      <c r="B777" t="s">
        <v>21</v>
      </c>
      <c r="C777" t="s">
        <v>18</v>
      </c>
      <c r="D777" t="s">
        <v>27</v>
      </c>
      <c r="E777" t="s">
        <v>14</v>
      </c>
      <c r="F777" t="s">
        <v>22</v>
      </c>
      <c r="G777">
        <v>178.64</v>
      </c>
      <c r="H777">
        <v>1</v>
      </c>
      <c r="I777">
        <v>85.64</v>
      </c>
      <c r="J777">
        <v>0</v>
      </c>
      <c r="K777">
        <v>-93</v>
      </c>
    </row>
    <row r="778" spans="1:11" x14ac:dyDescent="0.3">
      <c r="A778" s="1">
        <v>45000</v>
      </c>
      <c r="B778" t="s">
        <v>11</v>
      </c>
      <c r="C778" t="s">
        <v>29</v>
      </c>
      <c r="D778" t="s">
        <v>28</v>
      </c>
      <c r="E778" t="s">
        <v>20</v>
      </c>
      <c r="F778" t="s">
        <v>16</v>
      </c>
      <c r="G778">
        <v>186.27</v>
      </c>
      <c r="H778">
        <v>7</v>
      </c>
      <c r="I778">
        <v>201.49</v>
      </c>
      <c r="J778">
        <v>3</v>
      </c>
      <c r="K778">
        <v>-128.79</v>
      </c>
    </row>
    <row r="779" spans="1:11" x14ac:dyDescent="0.3">
      <c r="A779" s="1">
        <v>45032</v>
      </c>
      <c r="B779" t="s">
        <v>11</v>
      </c>
      <c r="C779" t="s">
        <v>18</v>
      </c>
      <c r="D779" t="s">
        <v>25</v>
      </c>
      <c r="E779" t="s">
        <v>14</v>
      </c>
      <c r="F779" t="s">
        <v>26</v>
      </c>
      <c r="G779">
        <v>198.02</v>
      </c>
      <c r="H779">
        <v>11</v>
      </c>
      <c r="I779">
        <v>1024.6099999999999</v>
      </c>
      <c r="J779">
        <v>3</v>
      </c>
      <c r="K779">
        <v>738.14</v>
      </c>
    </row>
    <row r="780" spans="1:11" x14ac:dyDescent="0.3">
      <c r="A780" s="1">
        <v>45233</v>
      </c>
      <c r="B780" t="s">
        <v>23</v>
      </c>
      <c r="C780" t="s">
        <v>12</v>
      </c>
      <c r="D780" t="s">
        <v>13</v>
      </c>
      <c r="E780" t="s">
        <v>20</v>
      </c>
      <c r="F780" t="s">
        <v>26</v>
      </c>
      <c r="G780">
        <v>17.03</v>
      </c>
      <c r="H780">
        <v>12</v>
      </c>
      <c r="I780">
        <v>132.43</v>
      </c>
      <c r="J780">
        <v>0</v>
      </c>
      <c r="K780">
        <v>115.4</v>
      </c>
    </row>
    <row r="781" spans="1:11" x14ac:dyDescent="0.3">
      <c r="A781" s="1">
        <v>45217</v>
      </c>
      <c r="B781" t="s">
        <v>23</v>
      </c>
      <c r="C781" t="s">
        <v>24</v>
      </c>
      <c r="D781" t="s">
        <v>13</v>
      </c>
      <c r="E781" t="s">
        <v>14</v>
      </c>
      <c r="F781" t="s">
        <v>26</v>
      </c>
      <c r="G781">
        <v>169.87</v>
      </c>
      <c r="H781">
        <v>18</v>
      </c>
      <c r="I781">
        <v>718.76</v>
      </c>
      <c r="J781">
        <v>0</v>
      </c>
      <c r="K781">
        <v>548.89</v>
      </c>
    </row>
    <row r="782" spans="1:11" x14ac:dyDescent="0.3">
      <c r="A782" s="1">
        <v>45250</v>
      </c>
      <c r="B782" t="s">
        <v>23</v>
      </c>
      <c r="C782" t="s">
        <v>24</v>
      </c>
      <c r="D782" t="s">
        <v>13</v>
      </c>
      <c r="E782" t="s">
        <v>20</v>
      </c>
      <c r="F782" t="s">
        <v>16</v>
      </c>
      <c r="G782">
        <v>80.650000000000006</v>
      </c>
      <c r="H782">
        <v>9</v>
      </c>
      <c r="I782">
        <v>229.57</v>
      </c>
      <c r="J782">
        <v>0</v>
      </c>
      <c r="K782">
        <v>148.91999999999999</v>
      </c>
    </row>
    <row r="783" spans="1:11" x14ac:dyDescent="0.3">
      <c r="A783" s="1">
        <v>45010</v>
      </c>
      <c r="B783" t="s">
        <v>11</v>
      </c>
      <c r="C783" t="s">
        <v>29</v>
      </c>
      <c r="D783" t="s">
        <v>27</v>
      </c>
      <c r="E783" t="s">
        <v>20</v>
      </c>
      <c r="F783" t="s">
        <v>15</v>
      </c>
      <c r="G783">
        <v>15.33</v>
      </c>
      <c r="H783">
        <v>14</v>
      </c>
      <c r="I783">
        <v>713.65</v>
      </c>
      <c r="J783">
        <v>2</v>
      </c>
      <c r="K783">
        <v>618.25</v>
      </c>
    </row>
    <row r="784" spans="1:11" x14ac:dyDescent="0.3">
      <c r="A784" s="1">
        <v>45013</v>
      </c>
      <c r="B784" t="s">
        <v>11</v>
      </c>
      <c r="C784" t="s">
        <v>12</v>
      </c>
      <c r="D784" t="s">
        <v>25</v>
      </c>
      <c r="E784" t="s">
        <v>14</v>
      </c>
      <c r="F784" t="s">
        <v>16</v>
      </c>
      <c r="G784">
        <v>104.84</v>
      </c>
      <c r="H784">
        <v>13</v>
      </c>
      <c r="I784">
        <v>981.39</v>
      </c>
      <c r="J784">
        <v>0</v>
      </c>
      <c r="K784">
        <v>876.55</v>
      </c>
    </row>
    <row r="785" spans="1:11" x14ac:dyDescent="0.3">
      <c r="A785" s="1">
        <v>45060</v>
      </c>
      <c r="B785" t="s">
        <v>11</v>
      </c>
      <c r="C785" t="s">
        <v>29</v>
      </c>
      <c r="D785" t="s">
        <v>13</v>
      </c>
      <c r="E785" t="s">
        <v>20</v>
      </c>
      <c r="F785" t="s">
        <v>15</v>
      </c>
      <c r="G785">
        <v>167.84</v>
      </c>
      <c r="H785">
        <v>15</v>
      </c>
      <c r="I785">
        <v>422.9</v>
      </c>
      <c r="J785">
        <v>3</v>
      </c>
      <c r="K785">
        <v>196.33</v>
      </c>
    </row>
    <row r="786" spans="1:11" x14ac:dyDescent="0.3">
      <c r="A786" s="1">
        <v>44971</v>
      </c>
      <c r="B786" t="s">
        <v>21</v>
      </c>
      <c r="C786" t="s">
        <v>12</v>
      </c>
      <c r="D786" t="s">
        <v>13</v>
      </c>
      <c r="E786" t="s">
        <v>20</v>
      </c>
      <c r="F786" t="s">
        <v>22</v>
      </c>
      <c r="G786">
        <v>54.14</v>
      </c>
      <c r="H786">
        <v>15</v>
      </c>
      <c r="I786">
        <v>209.69</v>
      </c>
      <c r="J786">
        <v>3</v>
      </c>
      <c r="K786">
        <v>104.77</v>
      </c>
    </row>
    <row r="787" spans="1:11" x14ac:dyDescent="0.3">
      <c r="A787" s="1">
        <v>44977</v>
      </c>
      <c r="B787" t="s">
        <v>21</v>
      </c>
      <c r="C787" t="s">
        <v>24</v>
      </c>
      <c r="D787" t="s">
        <v>27</v>
      </c>
      <c r="E787" t="s">
        <v>20</v>
      </c>
      <c r="F787" t="s">
        <v>16</v>
      </c>
      <c r="G787">
        <v>86.18</v>
      </c>
      <c r="H787">
        <v>2</v>
      </c>
      <c r="I787">
        <v>162.96</v>
      </c>
      <c r="J787">
        <v>2</v>
      </c>
      <c r="K787">
        <v>-18.010000000000002</v>
      </c>
    </row>
    <row r="788" spans="1:11" x14ac:dyDescent="0.3">
      <c r="A788" s="1">
        <v>44991</v>
      </c>
      <c r="B788" t="s">
        <v>11</v>
      </c>
      <c r="C788" t="s">
        <v>12</v>
      </c>
      <c r="D788" t="s">
        <v>13</v>
      </c>
      <c r="E788" t="s">
        <v>20</v>
      </c>
      <c r="F788" t="s">
        <v>26</v>
      </c>
      <c r="G788">
        <v>175.69</v>
      </c>
      <c r="H788">
        <v>8</v>
      </c>
      <c r="I788">
        <v>498.65</v>
      </c>
      <c r="J788">
        <v>1</v>
      </c>
      <c r="K788">
        <v>288.49</v>
      </c>
    </row>
    <row r="789" spans="1:11" x14ac:dyDescent="0.3">
      <c r="A789" s="1">
        <v>45146</v>
      </c>
      <c r="B789" t="s">
        <v>17</v>
      </c>
      <c r="C789" t="s">
        <v>18</v>
      </c>
      <c r="D789" t="s">
        <v>27</v>
      </c>
      <c r="E789" t="s">
        <v>14</v>
      </c>
      <c r="F789" t="s">
        <v>26</v>
      </c>
      <c r="G789">
        <v>86.51</v>
      </c>
      <c r="H789">
        <v>5</v>
      </c>
      <c r="I789">
        <v>297.10000000000002</v>
      </c>
      <c r="J789">
        <v>2</v>
      </c>
      <c r="K789">
        <v>160.06</v>
      </c>
    </row>
    <row r="790" spans="1:11" x14ac:dyDescent="0.3">
      <c r="A790" s="1">
        <v>45124</v>
      </c>
      <c r="B790" t="s">
        <v>17</v>
      </c>
      <c r="C790" t="s">
        <v>12</v>
      </c>
      <c r="D790" t="s">
        <v>27</v>
      </c>
      <c r="E790" t="s">
        <v>14</v>
      </c>
      <c r="F790" t="s">
        <v>22</v>
      </c>
      <c r="G790">
        <v>109.45</v>
      </c>
      <c r="H790">
        <v>4</v>
      </c>
      <c r="I790">
        <v>202.53</v>
      </c>
      <c r="J790">
        <v>0</v>
      </c>
      <c r="K790">
        <v>93.08</v>
      </c>
    </row>
    <row r="791" spans="1:11" x14ac:dyDescent="0.3">
      <c r="A791" s="1">
        <v>45170</v>
      </c>
      <c r="B791" t="s">
        <v>23</v>
      </c>
      <c r="C791" t="s">
        <v>24</v>
      </c>
      <c r="D791" t="s">
        <v>13</v>
      </c>
      <c r="E791" t="s">
        <v>20</v>
      </c>
      <c r="F791" t="s">
        <v>15</v>
      </c>
      <c r="G791">
        <v>137.13</v>
      </c>
      <c r="H791">
        <v>15</v>
      </c>
      <c r="I791">
        <v>635.01</v>
      </c>
      <c r="J791">
        <v>1</v>
      </c>
      <c r="K791">
        <v>459.82</v>
      </c>
    </row>
    <row r="792" spans="1:11" x14ac:dyDescent="0.3">
      <c r="A792" s="1">
        <v>45152</v>
      </c>
      <c r="B792" t="s">
        <v>17</v>
      </c>
      <c r="C792" t="s">
        <v>24</v>
      </c>
      <c r="D792" t="s">
        <v>27</v>
      </c>
      <c r="E792" t="s">
        <v>14</v>
      </c>
      <c r="F792" t="s">
        <v>15</v>
      </c>
      <c r="G792">
        <v>175.56</v>
      </c>
      <c r="H792">
        <v>16</v>
      </c>
      <c r="I792">
        <v>499.4</v>
      </c>
      <c r="J792">
        <v>0</v>
      </c>
      <c r="K792">
        <v>323.83999999999997</v>
      </c>
    </row>
    <row r="793" spans="1:11" x14ac:dyDescent="0.3">
      <c r="A793" s="1">
        <v>45019</v>
      </c>
      <c r="B793" t="s">
        <v>11</v>
      </c>
      <c r="C793" t="s">
        <v>29</v>
      </c>
      <c r="D793" t="s">
        <v>25</v>
      </c>
      <c r="E793" t="s">
        <v>14</v>
      </c>
      <c r="F793" t="s">
        <v>15</v>
      </c>
      <c r="G793">
        <v>108.3</v>
      </c>
      <c r="H793">
        <v>18</v>
      </c>
      <c r="I793">
        <v>912.22</v>
      </c>
      <c r="J793">
        <v>0</v>
      </c>
      <c r="K793">
        <v>803.92</v>
      </c>
    </row>
    <row r="794" spans="1:11" x14ac:dyDescent="0.3">
      <c r="A794" s="1">
        <v>44950</v>
      </c>
      <c r="B794" t="s">
        <v>21</v>
      </c>
      <c r="C794" t="s">
        <v>24</v>
      </c>
      <c r="D794" t="s">
        <v>13</v>
      </c>
      <c r="E794" t="s">
        <v>14</v>
      </c>
      <c r="F794" t="s">
        <v>15</v>
      </c>
      <c r="G794">
        <v>118.99</v>
      </c>
      <c r="H794">
        <v>18</v>
      </c>
      <c r="I794">
        <v>1052.08</v>
      </c>
      <c r="J794">
        <v>0</v>
      </c>
      <c r="K794">
        <v>933.09</v>
      </c>
    </row>
    <row r="795" spans="1:11" x14ac:dyDescent="0.3">
      <c r="A795" s="1">
        <v>44942</v>
      </c>
      <c r="B795" t="s">
        <v>21</v>
      </c>
      <c r="C795" t="s">
        <v>24</v>
      </c>
      <c r="D795" t="s">
        <v>27</v>
      </c>
      <c r="E795" t="s">
        <v>20</v>
      </c>
      <c r="F795" t="s">
        <v>16</v>
      </c>
      <c r="G795">
        <v>129.12</v>
      </c>
      <c r="H795">
        <v>9</v>
      </c>
      <c r="I795">
        <v>669.28</v>
      </c>
      <c r="J795">
        <v>0</v>
      </c>
      <c r="K795">
        <v>540.16</v>
      </c>
    </row>
    <row r="796" spans="1:11" x14ac:dyDescent="0.3">
      <c r="A796" s="1">
        <v>45229</v>
      </c>
      <c r="B796" t="s">
        <v>23</v>
      </c>
      <c r="C796" t="s">
        <v>29</v>
      </c>
      <c r="D796" t="s">
        <v>28</v>
      </c>
      <c r="E796" t="s">
        <v>20</v>
      </c>
      <c r="F796" t="s">
        <v>26</v>
      </c>
      <c r="G796">
        <v>81.25</v>
      </c>
      <c r="H796">
        <v>4</v>
      </c>
      <c r="I796">
        <v>177.47</v>
      </c>
      <c r="J796">
        <v>2</v>
      </c>
      <c r="K796">
        <v>15.65</v>
      </c>
    </row>
    <row r="797" spans="1:11" x14ac:dyDescent="0.3">
      <c r="A797" s="1">
        <v>45179</v>
      </c>
      <c r="B797" t="s">
        <v>23</v>
      </c>
      <c r="C797" t="s">
        <v>24</v>
      </c>
      <c r="D797" t="s">
        <v>19</v>
      </c>
      <c r="E797" t="s">
        <v>14</v>
      </c>
      <c r="F797" t="s">
        <v>16</v>
      </c>
      <c r="G797">
        <v>148.25</v>
      </c>
      <c r="H797">
        <v>6</v>
      </c>
      <c r="I797">
        <v>122.75</v>
      </c>
      <c r="J797">
        <v>0</v>
      </c>
      <c r="K797">
        <v>-25.5</v>
      </c>
    </row>
    <row r="798" spans="1:11" x14ac:dyDescent="0.3">
      <c r="A798" s="1">
        <v>45089</v>
      </c>
      <c r="B798" t="s">
        <v>17</v>
      </c>
      <c r="C798" t="s">
        <v>29</v>
      </c>
      <c r="D798" t="s">
        <v>25</v>
      </c>
      <c r="E798" t="s">
        <v>20</v>
      </c>
      <c r="F798" t="s">
        <v>26</v>
      </c>
      <c r="G798">
        <v>50.19</v>
      </c>
      <c r="H798">
        <v>13</v>
      </c>
      <c r="I798">
        <v>1041.18</v>
      </c>
      <c r="J798">
        <v>2</v>
      </c>
      <c r="K798">
        <v>925.66</v>
      </c>
    </row>
    <row r="799" spans="1:11" x14ac:dyDescent="0.3">
      <c r="A799" s="1">
        <v>45210</v>
      </c>
      <c r="B799" t="s">
        <v>23</v>
      </c>
      <c r="C799" t="s">
        <v>24</v>
      </c>
      <c r="D799" t="s">
        <v>13</v>
      </c>
      <c r="E799" t="s">
        <v>14</v>
      </c>
      <c r="F799" t="s">
        <v>16</v>
      </c>
      <c r="G799">
        <v>79.48</v>
      </c>
      <c r="H799">
        <v>10</v>
      </c>
      <c r="I799">
        <v>425.72</v>
      </c>
      <c r="J799">
        <v>3</v>
      </c>
      <c r="K799">
        <v>327.10000000000002</v>
      </c>
    </row>
    <row r="800" spans="1:11" x14ac:dyDescent="0.3">
      <c r="A800" s="1">
        <v>45239</v>
      </c>
      <c r="B800" t="s">
        <v>23</v>
      </c>
      <c r="C800" t="s">
        <v>18</v>
      </c>
      <c r="D800" t="s">
        <v>19</v>
      </c>
      <c r="E800" t="s">
        <v>14</v>
      </c>
      <c r="F800" t="s">
        <v>15</v>
      </c>
      <c r="G800">
        <v>35.36</v>
      </c>
      <c r="H800">
        <v>4</v>
      </c>
      <c r="I800">
        <v>167.26</v>
      </c>
      <c r="J800">
        <v>1</v>
      </c>
      <c r="K800">
        <v>103.55</v>
      </c>
    </row>
    <row r="801" spans="1:11" x14ac:dyDescent="0.3">
      <c r="A801" s="1">
        <v>44931</v>
      </c>
      <c r="B801" t="s">
        <v>21</v>
      </c>
      <c r="C801" t="s">
        <v>18</v>
      </c>
      <c r="D801" t="s">
        <v>13</v>
      </c>
      <c r="E801" t="s">
        <v>14</v>
      </c>
      <c r="F801" t="s">
        <v>26</v>
      </c>
      <c r="G801">
        <v>9.9700000000000006</v>
      </c>
      <c r="H801">
        <v>14</v>
      </c>
      <c r="I801">
        <v>1103.6400000000001</v>
      </c>
      <c r="J801">
        <v>3</v>
      </c>
      <c r="K801">
        <v>1076.22</v>
      </c>
    </row>
    <row r="802" spans="1:11" x14ac:dyDescent="0.3">
      <c r="A802" s="1">
        <v>45273</v>
      </c>
      <c r="B802" t="s">
        <v>21</v>
      </c>
      <c r="C802" t="s">
        <v>24</v>
      </c>
      <c r="D802" t="s">
        <v>25</v>
      </c>
      <c r="E802" t="s">
        <v>20</v>
      </c>
      <c r="F802" t="s">
        <v>22</v>
      </c>
      <c r="G802">
        <v>135.9</v>
      </c>
      <c r="H802">
        <v>10</v>
      </c>
      <c r="I802">
        <v>966.82</v>
      </c>
      <c r="J802">
        <v>2</v>
      </c>
      <c r="K802">
        <v>751.8</v>
      </c>
    </row>
    <row r="803" spans="1:11" x14ac:dyDescent="0.3">
      <c r="A803" s="1">
        <v>44988</v>
      </c>
      <c r="B803" t="s">
        <v>11</v>
      </c>
      <c r="C803" t="s">
        <v>29</v>
      </c>
      <c r="D803" t="s">
        <v>25</v>
      </c>
      <c r="E803" t="s">
        <v>14</v>
      </c>
      <c r="F803" t="s">
        <v>26</v>
      </c>
      <c r="G803">
        <v>195.39</v>
      </c>
      <c r="H803">
        <v>15</v>
      </c>
      <c r="I803">
        <v>156.5</v>
      </c>
      <c r="J803">
        <v>3</v>
      </c>
      <c r="K803">
        <v>-115.81</v>
      </c>
    </row>
    <row r="804" spans="1:11" x14ac:dyDescent="0.3">
      <c r="A804" s="1">
        <v>45206</v>
      </c>
      <c r="B804" t="s">
        <v>23</v>
      </c>
      <c r="C804" t="s">
        <v>12</v>
      </c>
      <c r="D804" t="s">
        <v>28</v>
      </c>
      <c r="E804" t="s">
        <v>20</v>
      </c>
      <c r="F804" t="s">
        <v>26</v>
      </c>
      <c r="G804">
        <v>109.46</v>
      </c>
      <c r="H804">
        <v>1</v>
      </c>
      <c r="I804">
        <v>71.459999999999994</v>
      </c>
      <c r="J804">
        <v>0</v>
      </c>
      <c r="K804">
        <v>-38</v>
      </c>
    </row>
    <row r="805" spans="1:11" x14ac:dyDescent="0.3">
      <c r="A805" s="1">
        <v>45149</v>
      </c>
      <c r="B805" t="s">
        <v>17</v>
      </c>
      <c r="C805" t="s">
        <v>29</v>
      </c>
      <c r="D805" t="s">
        <v>28</v>
      </c>
      <c r="E805" t="s">
        <v>20</v>
      </c>
      <c r="F805" t="s">
        <v>26</v>
      </c>
      <c r="G805">
        <v>34.04</v>
      </c>
      <c r="H805">
        <v>9</v>
      </c>
      <c r="I805">
        <v>897.69</v>
      </c>
      <c r="J805">
        <v>1</v>
      </c>
      <c r="K805">
        <v>838.78</v>
      </c>
    </row>
    <row r="806" spans="1:11" x14ac:dyDescent="0.3">
      <c r="A806" s="1">
        <v>45289</v>
      </c>
      <c r="B806" t="s">
        <v>21</v>
      </c>
      <c r="C806" t="s">
        <v>18</v>
      </c>
      <c r="D806" t="s">
        <v>13</v>
      </c>
      <c r="E806" t="s">
        <v>14</v>
      </c>
      <c r="F806" t="s">
        <v>16</v>
      </c>
      <c r="G806">
        <v>14.67</v>
      </c>
      <c r="H806">
        <v>8</v>
      </c>
      <c r="I806">
        <v>258.75</v>
      </c>
      <c r="J806">
        <v>2</v>
      </c>
      <c r="K806">
        <v>209.47</v>
      </c>
    </row>
    <row r="807" spans="1:11" x14ac:dyDescent="0.3">
      <c r="A807" s="1">
        <v>45057</v>
      </c>
      <c r="B807" t="s">
        <v>11</v>
      </c>
      <c r="C807" t="s">
        <v>24</v>
      </c>
      <c r="D807" t="s">
        <v>13</v>
      </c>
      <c r="E807" t="s">
        <v>14</v>
      </c>
      <c r="F807" t="s">
        <v>16</v>
      </c>
      <c r="G807">
        <v>150.97</v>
      </c>
      <c r="H807">
        <v>9</v>
      </c>
      <c r="I807">
        <v>855.46</v>
      </c>
      <c r="J807">
        <v>3</v>
      </c>
      <c r="K807">
        <v>659.07</v>
      </c>
    </row>
    <row r="808" spans="1:11" x14ac:dyDescent="0.3">
      <c r="A808" s="1">
        <v>45262</v>
      </c>
      <c r="B808" t="s">
        <v>21</v>
      </c>
      <c r="C808" t="s">
        <v>18</v>
      </c>
      <c r="D808" t="s">
        <v>27</v>
      </c>
      <c r="E808" t="s">
        <v>20</v>
      </c>
      <c r="F808" t="s">
        <v>22</v>
      </c>
      <c r="G808">
        <v>19.09</v>
      </c>
      <c r="H808">
        <v>14</v>
      </c>
      <c r="I808">
        <v>483.24</v>
      </c>
      <c r="J808">
        <v>3</v>
      </c>
      <c r="K808">
        <v>341.95</v>
      </c>
    </row>
    <row r="809" spans="1:11" x14ac:dyDescent="0.3">
      <c r="A809" s="1">
        <v>45005</v>
      </c>
      <c r="B809" t="s">
        <v>11</v>
      </c>
      <c r="C809" t="s">
        <v>29</v>
      </c>
      <c r="D809" t="s">
        <v>28</v>
      </c>
      <c r="E809" t="s">
        <v>14</v>
      </c>
      <c r="F809" t="s">
        <v>26</v>
      </c>
      <c r="G809">
        <v>109.47</v>
      </c>
      <c r="H809">
        <v>8</v>
      </c>
      <c r="I809">
        <v>673.63</v>
      </c>
      <c r="J809">
        <v>0</v>
      </c>
      <c r="K809">
        <v>564.16</v>
      </c>
    </row>
    <row r="810" spans="1:11" x14ac:dyDescent="0.3">
      <c r="A810" s="1">
        <v>45127</v>
      </c>
      <c r="B810" t="s">
        <v>17</v>
      </c>
      <c r="C810" t="s">
        <v>18</v>
      </c>
      <c r="D810" t="s">
        <v>13</v>
      </c>
      <c r="E810" t="s">
        <v>20</v>
      </c>
      <c r="F810" t="s">
        <v>26</v>
      </c>
      <c r="G810">
        <v>170.59</v>
      </c>
      <c r="H810">
        <v>18</v>
      </c>
      <c r="I810">
        <v>231.24</v>
      </c>
      <c r="J810">
        <v>2</v>
      </c>
      <c r="K810">
        <v>49</v>
      </c>
    </row>
    <row r="811" spans="1:11" x14ac:dyDescent="0.3">
      <c r="A811" s="1">
        <v>45236</v>
      </c>
      <c r="B811" t="s">
        <v>23</v>
      </c>
      <c r="C811" t="s">
        <v>29</v>
      </c>
      <c r="D811" t="s">
        <v>19</v>
      </c>
      <c r="E811" t="s">
        <v>20</v>
      </c>
      <c r="F811" t="s">
        <v>22</v>
      </c>
      <c r="G811">
        <v>8.51</v>
      </c>
      <c r="H811">
        <v>17</v>
      </c>
      <c r="I811">
        <v>1387.9</v>
      </c>
      <c r="J811">
        <v>2</v>
      </c>
      <c r="K811">
        <v>1366.32</v>
      </c>
    </row>
    <row r="812" spans="1:11" x14ac:dyDescent="0.3">
      <c r="A812" s="1">
        <v>45244</v>
      </c>
      <c r="B812" t="s">
        <v>23</v>
      </c>
      <c r="C812" t="s">
        <v>12</v>
      </c>
      <c r="D812" t="s">
        <v>19</v>
      </c>
      <c r="E812" t="s">
        <v>14</v>
      </c>
      <c r="F812" t="s">
        <v>15</v>
      </c>
      <c r="G812">
        <v>104.69</v>
      </c>
      <c r="H812">
        <v>20</v>
      </c>
      <c r="I812">
        <v>1856.79</v>
      </c>
      <c r="J812">
        <v>3</v>
      </c>
      <c r="K812">
        <v>1663.45</v>
      </c>
    </row>
    <row r="813" spans="1:11" x14ac:dyDescent="0.3">
      <c r="A813" s="1">
        <v>45287</v>
      </c>
      <c r="B813" t="s">
        <v>21</v>
      </c>
      <c r="C813" t="s">
        <v>29</v>
      </c>
      <c r="D813" t="s">
        <v>25</v>
      </c>
      <c r="E813" t="s">
        <v>20</v>
      </c>
      <c r="F813" t="s">
        <v>26</v>
      </c>
      <c r="G813">
        <v>173.44</v>
      </c>
      <c r="H813">
        <v>19</v>
      </c>
      <c r="I813">
        <v>422.53</v>
      </c>
      <c r="J813">
        <v>3</v>
      </c>
      <c r="K813">
        <v>106.72</v>
      </c>
    </row>
    <row r="814" spans="1:11" x14ac:dyDescent="0.3">
      <c r="A814" s="1">
        <v>45063</v>
      </c>
      <c r="B814" t="s">
        <v>11</v>
      </c>
      <c r="C814" t="s">
        <v>29</v>
      </c>
      <c r="D814" t="s">
        <v>27</v>
      </c>
      <c r="E814" t="s">
        <v>20</v>
      </c>
      <c r="F814" t="s">
        <v>16</v>
      </c>
      <c r="G814">
        <v>183.67</v>
      </c>
      <c r="H814">
        <v>10</v>
      </c>
      <c r="I814">
        <v>732.4</v>
      </c>
      <c r="J814">
        <v>3</v>
      </c>
      <c r="K814">
        <v>414.27</v>
      </c>
    </row>
    <row r="815" spans="1:11" x14ac:dyDescent="0.3">
      <c r="A815" s="1">
        <v>45131</v>
      </c>
      <c r="B815" t="s">
        <v>17</v>
      </c>
      <c r="C815" t="s">
        <v>24</v>
      </c>
      <c r="D815" t="s">
        <v>28</v>
      </c>
      <c r="E815" t="s">
        <v>20</v>
      </c>
      <c r="F815" t="s">
        <v>22</v>
      </c>
      <c r="G815">
        <v>33.200000000000003</v>
      </c>
      <c r="H815">
        <v>13</v>
      </c>
      <c r="I815">
        <v>869.84</v>
      </c>
      <c r="J815">
        <v>1</v>
      </c>
      <c r="K815">
        <v>803.61</v>
      </c>
    </row>
    <row r="816" spans="1:11" x14ac:dyDescent="0.3">
      <c r="A816" s="1">
        <v>45232</v>
      </c>
      <c r="B816" t="s">
        <v>23</v>
      </c>
      <c r="C816" t="s">
        <v>24</v>
      </c>
      <c r="D816" t="s">
        <v>27</v>
      </c>
      <c r="E816" t="s">
        <v>14</v>
      </c>
      <c r="F816" t="s">
        <v>26</v>
      </c>
      <c r="G816">
        <v>125.31</v>
      </c>
      <c r="H816">
        <v>8</v>
      </c>
      <c r="I816">
        <v>757.61</v>
      </c>
      <c r="J816">
        <v>1</v>
      </c>
      <c r="K816">
        <v>607.84</v>
      </c>
    </row>
    <row r="817" spans="1:11" x14ac:dyDescent="0.3">
      <c r="A817" s="1">
        <v>45150</v>
      </c>
      <c r="B817" t="s">
        <v>17</v>
      </c>
      <c r="C817" t="s">
        <v>18</v>
      </c>
      <c r="D817" t="s">
        <v>25</v>
      </c>
      <c r="E817" t="s">
        <v>20</v>
      </c>
      <c r="F817" t="s">
        <v>16</v>
      </c>
      <c r="G817">
        <v>11.29</v>
      </c>
      <c r="H817">
        <v>11</v>
      </c>
      <c r="I817">
        <v>267.82</v>
      </c>
      <c r="J817">
        <v>0</v>
      </c>
      <c r="K817">
        <v>256.52999999999997</v>
      </c>
    </row>
    <row r="818" spans="1:11" x14ac:dyDescent="0.3">
      <c r="A818" s="1">
        <v>45283</v>
      </c>
      <c r="B818" t="s">
        <v>21</v>
      </c>
      <c r="C818" t="s">
        <v>24</v>
      </c>
      <c r="D818" t="s">
        <v>28</v>
      </c>
      <c r="E818" t="s">
        <v>14</v>
      </c>
      <c r="F818" t="s">
        <v>15</v>
      </c>
      <c r="G818">
        <v>102.64</v>
      </c>
      <c r="H818">
        <v>16</v>
      </c>
      <c r="I818">
        <v>1041.52</v>
      </c>
      <c r="J818">
        <v>0</v>
      </c>
      <c r="K818">
        <v>938.88</v>
      </c>
    </row>
    <row r="819" spans="1:11" x14ac:dyDescent="0.3">
      <c r="A819" s="1">
        <v>45018</v>
      </c>
      <c r="B819" t="s">
        <v>11</v>
      </c>
      <c r="C819" t="s">
        <v>24</v>
      </c>
      <c r="D819" t="s">
        <v>27</v>
      </c>
      <c r="E819" t="s">
        <v>20</v>
      </c>
      <c r="F819" t="s">
        <v>15</v>
      </c>
      <c r="G819">
        <v>194.53</v>
      </c>
      <c r="H819">
        <v>17</v>
      </c>
      <c r="I819">
        <v>1132.17</v>
      </c>
      <c r="J819">
        <v>1</v>
      </c>
      <c r="K819">
        <v>916.38</v>
      </c>
    </row>
    <row r="820" spans="1:11" x14ac:dyDescent="0.3">
      <c r="A820" s="1">
        <v>45199</v>
      </c>
      <c r="B820" t="s">
        <v>23</v>
      </c>
      <c r="C820" t="s">
        <v>18</v>
      </c>
      <c r="D820" t="s">
        <v>28</v>
      </c>
      <c r="E820" t="s">
        <v>14</v>
      </c>
      <c r="F820" t="s">
        <v>15</v>
      </c>
      <c r="G820">
        <v>159.65</v>
      </c>
      <c r="H820">
        <v>2</v>
      </c>
      <c r="I820">
        <v>78.430000000000007</v>
      </c>
      <c r="J820">
        <v>0</v>
      </c>
      <c r="K820">
        <v>-81.22</v>
      </c>
    </row>
    <row r="821" spans="1:11" x14ac:dyDescent="0.3">
      <c r="A821" s="1">
        <v>45137</v>
      </c>
      <c r="B821" t="s">
        <v>17</v>
      </c>
      <c r="C821" t="s">
        <v>24</v>
      </c>
      <c r="D821" t="s">
        <v>13</v>
      </c>
      <c r="E821" t="s">
        <v>20</v>
      </c>
      <c r="F821" t="s">
        <v>26</v>
      </c>
      <c r="G821">
        <v>172.36</v>
      </c>
      <c r="H821">
        <v>13</v>
      </c>
      <c r="I821">
        <v>680.08</v>
      </c>
      <c r="J821">
        <v>3</v>
      </c>
      <c r="K821">
        <v>404.01</v>
      </c>
    </row>
    <row r="822" spans="1:11" x14ac:dyDescent="0.3">
      <c r="A822" s="1">
        <v>45285</v>
      </c>
      <c r="B822" t="s">
        <v>21</v>
      </c>
      <c r="C822" t="s">
        <v>12</v>
      </c>
      <c r="D822" t="s">
        <v>27</v>
      </c>
      <c r="E822" t="s">
        <v>20</v>
      </c>
      <c r="F822" t="s">
        <v>22</v>
      </c>
      <c r="G822">
        <v>104.1</v>
      </c>
      <c r="H822">
        <v>16</v>
      </c>
      <c r="I822">
        <v>1241.17</v>
      </c>
      <c r="J822">
        <v>2</v>
      </c>
      <c r="K822">
        <v>1074.52</v>
      </c>
    </row>
    <row r="823" spans="1:11" x14ac:dyDescent="0.3">
      <c r="A823" s="1">
        <v>45036</v>
      </c>
      <c r="B823" t="s">
        <v>11</v>
      </c>
      <c r="C823" t="s">
        <v>29</v>
      </c>
      <c r="D823" t="s">
        <v>13</v>
      </c>
      <c r="E823" t="s">
        <v>14</v>
      </c>
      <c r="F823" t="s">
        <v>26</v>
      </c>
      <c r="G823">
        <v>183.35</v>
      </c>
      <c r="H823">
        <v>8</v>
      </c>
      <c r="I823">
        <v>506.39</v>
      </c>
      <c r="J823">
        <v>0</v>
      </c>
      <c r="K823">
        <v>323.04000000000002</v>
      </c>
    </row>
    <row r="824" spans="1:11" x14ac:dyDescent="0.3">
      <c r="A824" s="1">
        <v>45173</v>
      </c>
      <c r="B824" t="s">
        <v>23</v>
      </c>
      <c r="C824" t="s">
        <v>18</v>
      </c>
      <c r="D824" t="s">
        <v>25</v>
      </c>
      <c r="E824" t="s">
        <v>20</v>
      </c>
      <c r="F824" t="s">
        <v>15</v>
      </c>
      <c r="G824">
        <v>144.04</v>
      </c>
      <c r="H824">
        <v>15</v>
      </c>
      <c r="I824">
        <v>463.53</v>
      </c>
      <c r="J824">
        <v>3</v>
      </c>
      <c r="K824">
        <v>198.55</v>
      </c>
    </row>
    <row r="825" spans="1:11" x14ac:dyDescent="0.3">
      <c r="A825" s="1">
        <v>44957</v>
      </c>
      <c r="B825" t="s">
        <v>21</v>
      </c>
      <c r="C825" t="s">
        <v>29</v>
      </c>
      <c r="D825" t="s">
        <v>19</v>
      </c>
      <c r="E825" t="s">
        <v>20</v>
      </c>
      <c r="F825" t="s">
        <v>16</v>
      </c>
      <c r="G825">
        <v>141.96</v>
      </c>
      <c r="H825">
        <v>4</v>
      </c>
      <c r="I825">
        <v>193.64</v>
      </c>
      <c r="J825">
        <v>0</v>
      </c>
      <c r="K825">
        <v>51.68</v>
      </c>
    </row>
    <row r="826" spans="1:11" x14ac:dyDescent="0.3">
      <c r="A826" s="1">
        <v>44996</v>
      </c>
      <c r="B826" t="s">
        <v>11</v>
      </c>
      <c r="C826" t="s">
        <v>24</v>
      </c>
      <c r="D826" t="s">
        <v>19</v>
      </c>
      <c r="E826" t="s">
        <v>14</v>
      </c>
      <c r="F826" t="s">
        <v>22</v>
      </c>
      <c r="G826">
        <v>114.34</v>
      </c>
      <c r="H826">
        <v>14</v>
      </c>
      <c r="I826">
        <v>1156.56</v>
      </c>
      <c r="J826">
        <v>3</v>
      </c>
      <c r="K826">
        <v>912.92</v>
      </c>
    </row>
    <row r="827" spans="1:11" x14ac:dyDescent="0.3">
      <c r="A827" s="1">
        <v>45219</v>
      </c>
      <c r="B827" t="s">
        <v>23</v>
      </c>
      <c r="C827" t="s">
        <v>18</v>
      </c>
      <c r="D827" t="s">
        <v>27</v>
      </c>
      <c r="E827" t="s">
        <v>20</v>
      </c>
      <c r="F827" t="s">
        <v>16</v>
      </c>
      <c r="G827">
        <v>131.84</v>
      </c>
      <c r="H827">
        <v>10</v>
      </c>
      <c r="I827">
        <v>545.14</v>
      </c>
      <c r="J827">
        <v>3</v>
      </c>
      <c r="K827">
        <v>275.07</v>
      </c>
    </row>
    <row r="828" spans="1:11" x14ac:dyDescent="0.3">
      <c r="A828" s="1">
        <v>45005</v>
      </c>
      <c r="B828" t="s">
        <v>11</v>
      </c>
      <c r="C828" t="s">
        <v>24</v>
      </c>
      <c r="D828" t="s">
        <v>27</v>
      </c>
      <c r="E828" t="s">
        <v>14</v>
      </c>
      <c r="F828" t="s">
        <v>16</v>
      </c>
      <c r="G828">
        <v>159.46</v>
      </c>
      <c r="H828">
        <v>11</v>
      </c>
      <c r="I828">
        <v>249.33</v>
      </c>
      <c r="J828">
        <v>2</v>
      </c>
      <c r="K828">
        <v>53.96</v>
      </c>
    </row>
    <row r="829" spans="1:11" x14ac:dyDescent="0.3">
      <c r="A829" s="1">
        <v>45290</v>
      </c>
      <c r="B829" t="s">
        <v>21</v>
      </c>
      <c r="C829" t="s">
        <v>12</v>
      </c>
      <c r="D829" t="s">
        <v>28</v>
      </c>
      <c r="E829" t="s">
        <v>20</v>
      </c>
      <c r="F829" t="s">
        <v>26</v>
      </c>
      <c r="G829">
        <v>56.25</v>
      </c>
      <c r="H829">
        <v>7</v>
      </c>
      <c r="I829">
        <v>202.13</v>
      </c>
      <c r="J829">
        <v>3</v>
      </c>
      <c r="K829">
        <v>22.92</v>
      </c>
    </row>
    <row r="830" spans="1:11" x14ac:dyDescent="0.3">
      <c r="A830" s="1">
        <v>45228</v>
      </c>
      <c r="B830" t="s">
        <v>23</v>
      </c>
      <c r="C830" t="s">
        <v>18</v>
      </c>
      <c r="D830" t="s">
        <v>27</v>
      </c>
      <c r="E830" t="s">
        <v>14</v>
      </c>
      <c r="F830" t="s">
        <v>22</v>
      </c>
      <c r="G830">
        <v>97.8</v>
      </c>
      <c r="H830">
        <v>17</v>
      </c>
      <c r="I830">
        <v>627.95000000000005</v>
      </c>
      <c r="J830">
        <v>2</v>
      </c>
      <c r="K830">
        <v>454.13</v>
      </c>
    </row>
    <row r="831" spans="1:11" x14ac:dyDescent="0.3">
      <c r="A831" s="1">
        <v>45112</v>
      </c>
      <c r="B831" t="s">
        <v>17</v>
      </c>
      <c r="C831" t="s">
        <v>12</v>
      </c>
      <c r="D831" t="s">
        <v>19</v>
      </c>
      <c r="E831" t="s">
        <v>14</v>
      </c>
      <c r="F831" t="s">
        <v>16</v>
      </c>
      <c r="G831">
        <v>64.989999999999995</v>
      </c>
      <c r="H831">
        <v>20</v>
      </c>
      <c r="I831">
        <v>228.68</v>
      </c>
      <c r="J831">
        <v>1</v>
      </c>
      <c r="K831">
        <v>147.93</v>
      </c>
    </row>
    <row r="832" spans="1:11" x14ac:dyDescent="0.3">
      <c r="A832" s="1">
        <v>45006</v>
      </c>
      <c r="B832" t="s">
        <v>11</v>
      </c>
      <c r="C832" t="s">
        <v>24</v>
      </c>
      <c r="D832" t="s">
        <v>19</v>
      </c>
      <c r="E832" t="s">
        <v>14</v>
      </c>
      <c r="F832" t="s">
        <v>16</v>
      </c>
      <c r="G832">
        <v>166.5</v>
      </c>
      <c r="H832">
        <v>18</v>
      </c>
      <c r="I832">
        <v>307.77999999999997</v>
      </c>
      <c r="J832">
        <v>0</v>
      </c>
      <c r="K832">
        <v>141.28</v>
      </c>
    </row>
    <row r="833" spans="1:11" x14ac:dyDescent="0.3">
      <c r="A833" s="1">
        <v>45179</v>
      </c>
      <c r="B833" t="s">
        <v>23</v>
      </c>
      <c r="C833" t="s">
        <v>29</v>
      </c>
      <c r="D833" t="s">
        <v>28</v>
      </c>
      <c r="E833" t="s">
        <v>20</v>
      </c>
      <c r="F833" t="s">
        <v>22</v>
      </c>
      <c r="G833">
        <v>109.2</v>
      </c>
      <c r="H833">
        <v>16</v>
      </c>
      <c r="I833">
        <v>450.64</v>
      </c>
      <c r="J833">
        <v>0</v>
      </c>
      <c r="K833">
        <v>341.44</v>
      </c>
    </row>
    <row r="834" spans="1:11" x14ac:dyDescent="0.3">
      <c r="A834" s="1">
        <v>45125</v>
      </c>
      <c r="B834" t="s">
        <v>17</v>
      </c>
      <c r="C834" t="s">
        <v>24</v>
      </c>
      <c r="D834" t="s">
        <v>13</v>
      </c>
      <c r="E834" t="s">
        <v>20</v>
      </c>
      <c r="F834" t="s">
        <v>26</v>
      </c>
      <c r="G834">
        <v>145.38</v>
      </c>
      <c r="H834">
        <v>6</v>
      </c>
      <c r="I834">
        <v>260.43</v>
      </c>
      <c r="J834">
        <v>3</v>
      </c>
      <c r="K834">
        <v>64.150000000000006</v>
      </c>
    </row>
    <row r="835" spans="1:11" x14ac:dyDescent="0.3">
      <c r="A835" s="1">
        <v>44933</v>
      </c>
      <c r="B835" t="s">
        <v>21</v>
      </c>
      <c r="C835" t="s">
        <v>29</v>
      </c>
      <c r="D835" t="s">
        <v>13</v>
      </c>
      <c r="E835" t="s">
        <v>14</v>
      </c>
      <c r="F835" t="s">
        <v>15</v>
      </c>
      <c r="G835">
        <v>122.41</v>
      </c>
      <c r="H835">
        <v>11</v>
      </c>
      <c r="I835">
        <v>395.96</v>
      </c>
      <c r="J835">
        <v>1</v>
      </c>
      <c r="K835">
        <v>252</v>
      </c>
    </row>
    <row r="836" spans="1:11" x14ac:dyDescent="0.3">
      <c r="A836" s="1">
        <v>45003</v>
      </c>
      <c r="B836" t="s">
        <v>11</v>
      </c>
      <c r="C836" t="s">
        <v>18</v>
      </c>
      <c r="D836" t="s">
        <v>19</v>
      </c>
      <c r="E836" t="s">
        <v>20</v>
      </c>
      <c r="F836" t="s">
        <v>26</v>
      </c>
      <c r="G836">
        <v>44.29</v>
      </c>
      <c r="H836">
        <v>12</v>
      </c>
      <c r="I836">
        <v>775.6</v>
      </c>
      <c r="J836">
        <v>3</v>
      </c>
      <c r="K836">
        <v>593.79</v>
      </c>
    </row>
    <row r="837" spans="1:11" x14ac:dyDescent="0.3">
      <c r="A837" s="1">
        <v>45122</v>
      </c>
      <c r="B837" t="s">
        <v>17</v>
      </c>
      <c r="C837" t="s">
        <v>18</v>
      </c>
      <c r="D837" t="s">
        <v>27</v>
      </c>
      <c r="E837" t="s">
        <v>14</v>
      </c>
      <c r="F837" t="s">
        <v>16</v>
      </c>
      <c r="G837">
        <v>168.15</v>
      </c>
      <c r="H837">
        <v>7</v>
      </c>
      <c r="I837">
        <v>373.86</v>
      </c>
      <c r="J837">
        <v>2</v>
      </c>
      <c r="K837">
        <v>195.27</v>
      </c>
    </row>
    <row r="838" spans="1:11" x14ac:dyDescent="0.3">
      <c r="A838" s="1">
        <v>45278</v>
      </c>
      <c r="B838" t="s">
        <v>21</v>
      </c>
      <c r="C838" t="s">
        <v>18</v>
      </c>
      <c r="D838" t="s">
        <v>28</v>
      </c>
      <c r="E838" t="s">
        <v>20</v>
      </c>
      <c r="F838" t="s">
        <v>22</v>
      </c>
      <c r="G838">
        <v>166.35</v>
      </c>
      <c r="H838">
        <v>13</v>
      </c>
      <c r="I838">
        <v>1290.58</v>
      </c>
      <c r="J838">
        <v>1</v>
      </c>
      <c r="K838">
        <v>1081.54</v>
      </c>
    </row>
    <row r="839" spans="1:11" x14ac:dyDescent="0.3">
      <c r="A839" s="1">
        <v>45030</v>
      </c>
      <c r="B839" t="s">
        <v>11</v>
      </c>
      <c r="C839" t="s">
        <v>29</v>
      </c>
      <c r="D839" t="s">
        <v>25</v>
      </c>
      <c r="E839" t="s">
        <v>20</v>
      </c>
      <c r="F839" t="s">
        <v>15</v>
      </c>
      <c r="G839">
        <v>31.4</v>
      </c>
      <c r="H839">
        <v>9</v>
      </c>
      <c r="I839">
        <v>569.86</v>
      </c>
      <c r="J839">
        <v>0</v>
      </c>
      <c r="K839">
        <v>538.46</v>
      </c>
    </row>
    <row r="840" spans="1:11" x14ac:dyDescent="0.3">
      <c r="A840" s="1">
        <v>45266</v>
      </c>
      <c r="B840" t="s">
        <v>21</v>
      </c>
      <c r="C840" t="s">
        <v>24</v>
      </c>
      <c r="D840" t="s">
        <v>25</v>
      </c>
      <c r="E840" t="s">
        <v>14</v>
      </c>
      <c r="F840" t="s">
        <v>22</v>
      </c>
      <c r="G840">
        <v>94.15</v>
      </c>
      <c r="H840">
        <v>4</v>
      </c>
      <c r="I840">
        <v>320.94</v>
      </c>
      <c r="J840">
        <v>1</v>
      </c>
      <c r="K840">
        <v>185.21</v>
      </c>
    </row>
    <row r="841" spans="1:11" x14ac:dyDescent="0.3">
      <c r="A841" s="1">
        <v>45089</v>
      </c>
      <c r="B841" t="s">
        <v>17</v>
      </c>
      <c r="C841" t="s">
        <v>12</v>
      </c>
      <c r="D841" t="s">
        <v>27</v>
      </c>
      <c r="E841" t="s">
        <v>20</v>
      </c>
      <c r="F841" t="s">
        <v>26</v>
      </c>
      <c r="G841">
        <v>77.12</v>
      </c>
      <c r="H841">
        <v>4</v>
      </c>
      <c r="I841">
        <v>120.15</v>
      </c>
      <c r="J841">
        <v>2</v>
      </c>
      <c r="K841">
        <v>-31.24</v>
      </c>
    </row>
    <row r="842" spans="1:11" x14ac:dyDescent="0.3">
      <c r="A842" s="1">
        <v>45086</v>
      </c>
      <c r="B842" t="s">
        <v>17</v>
      </c>
      <c r="C842" t="s">
        <v>18</v>
      </c>
      <c r="D842" t="s">
        <v>25</v>
      </c>
      <c r="E842" t="s">
        <v>14</v>
      </c>
      <c r="F842" t="s">
        <v>16</v>
      </c>
      <c r="G842">
        <v>19.8</v>
      </c>
      <c r="H842">
        <v>11</v>
      </c>
      <c r="I842">
        <v>1081.3699999999999</v>
      </c>
      <c r="J842">
        <v>2</v>
      </c>
      <c r="K842">
        <v>969.78</v>
      </c>
    </row>
    <row r="843" spans="1:11" x14ac:dyDescent="0.3">
      <c r="A843" s="1">
        <v>45059</v>
      </c>
      <c r="B843" t="s">
        <v>11</v>
      </c>
      <c r="C843" t="s">
        <v>24</v>
      </c>
      <c r="D843" t="s">
        <v>27</v>
      </c>
      <c r="E843" t="s">
        <v>14</v>
      </c>
      <c r="F843" t="s">
        <v>15</v>
      </c>
      <c r="G843">
        <v>181.69</v>
      </c>
      <c r="H843">
        <v>1</v>
      </c>
      <c r="I843">
        <v>83.94</v>
      </c>
      <c r="J843">
        <v>0</v>
      </c>
      <c r="K843">
        <v>-97.75</v>
      </c>
    </row>
    <row r="844" spans="1:11" x14ac:dyDescent="0.3">
      <c r="A844" s="1">
        <v>44987</v>
      </c>
      <c r="B844" t="s">
        <v>11</v>
      </c>
      <c r="C844" t="s">
        <v>24</v>
      </c>
      <c r="D844" t="s">
        <v>25</v>
      </c>
      <c r="E844" t="s">
        <v>20</v>
      </c>
      <c r="F844" t="s">
        <v>26</v>
      </c>
      <c r="G844">
        <v>138.29</v>
      </c>
      <c r="H844">
        <v>16</v>
      </c>
      <c r="I844">
        <v>393.83</v>
      </c>
      <c r="J844">
        <v>1</v>
      </c>
      <c r="K844">
        <v>221.64</v>
      </c>
    </row>
    <row r="845" spans="1:11" x14ac:dyDescent="0.3">
      <c r="A845" s="1">
        <v>45261</v>
      </c>
      <c r="B845" t="s">
        <v>21</v>
      </c>
      <c r="C845" t="s">
        <v>29</v>
      </c>
      <c r="D845" t="s">
        <v>25</v>
      </c>
      <c r="E845" t="s">
        <v>20</v>
      </c>
      <c r="F845" t="s">
        <v>26</v>
      </c>
      <c r="G845">
        <v>117.39</v>
      </c>
      <c r="H845">
        <v>8</v>
      </c>
      <c r="I845">
        <v>227.91</v>
      </c>
      <c r="J845">
        <v>0</v>
      </c>
      <c r="K845">
        <v>110.52</v>
      </c>
    </row>
    <row r="846" spans="1:11" x14ac:dyDescent="0.3">
      <c r="A846" s="1">
        <v>45247</v>
      </c>
      <c r="B846" t="s">
        <v>23</v>
      </c>
      <c r="C846" t="s">
        <v>29</v>
      </c>
      <c r="D846" t="s">
        <v>13</v>
      </c>
      <c r="E846" t="s">
        <v>14</v>
      </c>
      <c r="F846" t="s">
        <v>16</v>
      </c>
      <c r="G846">
        <v>131.29</v>
      </c>
      <c r="H846">
        <v>18</v>
      </c>
      <c r="I846">
        <v>291.68</v>
      </c>
      <c r="J846">
        <v>3</v>
      </c>
      <c r="K846">
        <v>78.38</v>
      </c>
    </row>
    <row r="847" spans="1:11" x14ac:dyDescent="0.3">
      <c r="A847" s="1">
        <v>45032</v>
      </c>
      <c r="B847" t="s">
        <v>11</v>
      </c>
      <c r="C847" t="s">
        <v>18</v>
      </c>
      <c r="D847" t="s">
        <v>28</v>
      </c>
      <c r="E847" t="s">
        <v>14</v>
      </c>
      <c r="F847" t="s">
        <v>16</v>
      </c>
      <c r="G847">
        <v>119.01</v>
      </c>
      <c r="H847">
        <v>15</v>
      </c>
      <c r="I847">
        <v>1089.81</v>
      </c>
      <c r="J847">
        <v>2</v>
      </c>
      <c r="K847">
        <v>925.16</v>
      </c>
    </row>
    <row r="848" spans="1:11" x14ac:dyDescent="0.3">
      <c r="A848" s="1">
        <v>45232</v>
      </c>
      <c r="B848" t="s">
        <v>23</v>
      </c>
      <c r="C848" t="s">
        <v>29</v>
      </c>
      <c r="D848" t="s">
        <v>13</v>
      </c>
      <c r="E848" t="s">
        <v>14</v>
      </c>
      <c r="F848" t="s">
        <v>16</v>
      </c>
      <c r="G848">
        <v>100.55</v>
      </c>
      <c r="H848">
        <v>15</v>
      </c>
      <c r="I848">
        <v>1304.94</v>
      </c>
      <c r="J848">
        <v>1</v>
      </c>
      <c r="K848">
        <v>1197.33</v>
      </c>
    </row>
    <row r="849" spans="1:11" x14ac:dyDescent="0.3">
      <c r="A849" s="1">
        <v>45122</v>
      </c>
      <c r="B849" t="s">
        <v>17</v>
      </c>
      <c r="C849" t="s">
        <v>12</v>
      </c>
      <c r="D849" t="s">
        <v>28</v>
      </c>
      <c r="E849" t="s">
        <v>20</v>
      </c>
      <c r="F849" t="s">
        <v>15</v>
      </c>
      <c r="G849">
        <v>107.04</v>
      </c>
      <c r="H849">
        <v>6</v>
      </c>
      <c r="I849">
        <v>148.31</v>
      </c>
      <c r="J849">
        <v>2</v>
      </c>
      <c r="K849">
        <v>17.829999999999998</v>
      </c>
    </row>
    <row r="850" spans="1:11" x14ac:dyDescent="0.3">
      <c r="A850" s="1">
        <v>45064</v>
      </c>
      <c r="B850" t="s">
        <v>11</v>
      </c>
      <c r="C850" t="s">
        <v>24</v>
      </c>
      <c r="D850" t="s">
        <v>27</v>
      </c>
      <c r="E850" t="s">
        <v>14</v>
      </c>
      <c r="F850" t="s">
        <v>22</v>
      </c>
      <c r="G850">
        <v>64.22</v>
      </c>
      <c r="H850">
        <v>5</v>
      </c>
      <c r="I850">
        <v>274.31</v>
      </c>
      <c r="J850">
        <v>2</v>
      </c>
      <c r="K850">
        <v>154.16999999999999</v>
      </c>
    </row>
    <row r="851" spans="1:11" x14ac:dyDescent="0.3">
      <c r="A851" s="1">
        <v>45099</v>
      </c>
      <c r="B851" t="s">
        <v>17</v>
      </c>
      <c r="C851" t="s">
        <v>12</v>
      </c>
      <c r="D851" t="s">
        <v>13</v>
      </c>
      <c r="E851" t="s">
        <v>20</v>
      </c>
      <c r="F851" t="s">
        <v>26</v>
      </c>
      <c r="G851">
        <v>196.86</v>
      </c>
      <c r="H851">
        <v>15</v>
      </c>
      <c r="I851">
        <v>289.66000000000003</v>
      </c>
      <c r="J851">
        <v>2</v>
      </c>
      <c r="K851">
        <v>5.47</v>
      </c>
    </row>
    <row r="852" spans="1:11" x14ac:dyDescent="0.3">
      <c r="A852" s="1">
        <v>45016</v>
      </c>
      <c r="B852" t="s">
        <v>11</v>
      </c>
      <c r="C852" t="s">
        <v>29</v>
      </c>
      <c r="D852" t="s">
        <v>19</v>
      </c>
      <c r="E852" t="s">
        <v>14</v>
      </c>
      <c r="F852" t="s">
        <v>26</v>
      </c>
      <c r="G852">
        <v>111</v>
      </c>
      <c r="H852">
        <v>10</v>
      </c>
      <c r="I852">
        <v>877.33</v>
      </c>
      <c r="J852">
        <v>1</v>
      </c>
      <c r="K852">
        <v>720.52</v>
      </c>
    </row>
    <row r="853" spans="1:11" x14ac:dyDescent="0.3">
      <c r="A853" s="1">
        <v>45175</v>
      </c>
      <c r="B853" t="s">
        <v>23</v>
      </c>
      <c r="C853" t="s">
        <v>18</v>
      </c>
      <c r="D853" t="s">
        <v>28</v>
      </c>
      <c r="E853" t="s">
        <v>20</v>
      </c>
      <c r="F853" t="s">
        <v>26</v>
      </c>
      <c r="G853">
        <v>17.95</v>
      </c>
      <c r="H853">
        <v>2</v>
      </c>
      <c r="I853">
        <v>167.97</v>
      </c>
      <c r="J853">
        <v>2</v>
      </c>
      <c r="K853">
        <v>113.15</v>
      </c>
    </row>
    <row r="854" spans="1:11" x14ac:dyDescent="0.3">
      <c r="A854" s="1">
        <v>45021</v>
      </c>
      <c r="B854" t="s">
        <v>11</v>
      </c>
      <c r="C854" t="s">
        <v>18</v>
      </c>
      <c r="D854" t="s">
        <v>28</v>
      </c>
      <c r="E854" t="s">
        <v>20</v>
      </c>
      <c r="F854" t="s">
        <v>26</v>
      </c>
      <c r="G854">
        <v>192.66</v>
      </c>
      <c r="H854">
        <v>4</v>
      </c>
      <c r="I854">
        <v>379.63</v>
      </c>
      <c r="J854">
        <v>0</v>
      </c>
      <c r="K854">
        <v>186.97</v>
      </c>
    </row>
    <row r="855" spans="1:11" x14ac:dyDescent="0.3">
      <c r="A855" s="1">
        <v>45249</v>
      </c>
      <c r="B855" t="s">
        <v>23</v>
      </c>
      <c r="C855" t="s">
        <v>12</v>
      </c>
      <c r="D855" t="s">
        <v>27</v>
      </c>
      <c r="E855" t="s">
        <v>20</v>
      </c>
      <c r="F855" t="s">
        <v>16</v>
      </c>
      <c r="G855">
        <v>107.46</v>
      </c>
      <c r="H855">
        <v>2</v>
      </c>
      <c r="I855">
        <v>30.15</v>
      </c>
      <c r="J855">
        <v>2</v>
      </c>
      <c r="K855">
        <v>-106.05</v>
      </c>
    </row>
    <row r="856" spans="1:11" x14ac:dyDescent="0.3">
      <c r="A856" s="1">
        <v>45106</v>
      </c>
      <c r="B856" t="s">
        <v>17</v>
      </c>
      <c r="C856" t="s">
        <v>12</v>
      </c>
      <c r="D856" t="s">
        <v>27</v>
      </c>
      <c r="E856" t="s">
        <v>14</v>
      </c>
      <c r="F856" t="s">
        <v>22</v>
      </c>
      <c r="G856">
        <v>38.090000000000003</v>
      </c>
      <c r="H856">
        <v>16</v>
      </c>
      <c r="I856">
        <v>837.81</v>
      </c>
      <c r="J856">
        <v>1</v>
      </c>
      <c r="K856">
        <v>752.49</v>
      </c>
    </row>
    <row r="857" spans="1:11" x14ac:dyDescent="0.3">
      <c r="A857" s="1">
        <v>45123</v>
      </c>
      <c r="B857" t="s">
        <v>17</v>
      </c>
      <c r="C857" t="s">
        <v>12</v>
      </c>
      <c r="D857" t="s">
        <v>27</v>
      </c>
      <c r="E857" t="s">
        <v>20</v>
      </c>
      <c r="F857" t="s">
        <v>22</v>
      </c>
      <c r="G857">
        <v>89.55</v>
      </c>
      <c r="H857">
        <v>9</v>
      </c>
      <c r="I857">
        <v>698.39</v>
      </c>
      <c r="J857">
        <v>2</v>
      </c>
      <c r="K857">
        <v>576.01</v>
      </c>
    </row>
    <row r="858" spans="1:11" x14ac:dyDescent="0.3">
      <c r="A858" s="1">
        <v>45079</v>
      </c>
      <c r="B858" t="s">
        <v>17</v>
      </c>
      <c r="C858" t="s">
        <v>18</v>
      </c>
      <c r="D858" t="s">
        <v>27</v>
      </c>
      <c r="E858" t="s">
        <v>14</v>
      </c>
      <c r="F858" t="s">
        <v>26</v>
      </c>
      <c r="G858">
        <v>121.89</v>
      </c>
      <c r="H858">
        <v>9</v>
      </c>
      <c r="I858">
        <v>652.25</v>
      </c>
      <c r="J858">
        <v>0</v>
      </c>
      <c r="K858">
        <v>530.36</v>
      </c>
    </row>
    <row r="859" spans="1:11" x14ac:dyDescent="0.3">
      <c r="A859" s="1">
        <v>45260</v>
      </c>
      <c r="B859" t="s">
        <v>23</v>
      </c>
      <c r="C859" t="s">
        <v>24</v>
      </c>
      <c r="D859" t="s">
        <v>27</v>
      </c>
      <c r="E859" t="s">
        <v>14</v>
      </c>
      <c r="F859" t="s">
        <v>15</v>
      </c>
      <c r="G859">
        <v>70.819999999999993</v>
      </c>
      <c r="H859">
        <v>3</v>
      </c>
      <c r="I859">
        <v>154.24</v>
      </c>
      <c r="J859">
        <v>2</v>
      </c>
      <c r="K859">
        <v>68.290000000000006</v>
      </c>
    </row>
    <row r="860" spans="1:11" x14ac:dyDescent="0.3">
      <c r="A860" s="1">
        <v>45051</v>
      </c>
      <c r="B860" t="s">
        <v>11</v>
      </c>
      <c r="C860" t="s">
        <v>29</v>
      </c>
      <c r="D860" t="s">
        <v>19</v>
      </c>
      <c r="E860" t="s">
        <v>20</v>
      </c>
      <c r="F860" t="s">
        <v>26</v>
      </c>
      <c r="G860">
        <v>36.090000000000003</v>
      </c>
      <c r="H860">
        <v>19</v>
      </c>
      <c r="I860">
        <v>351.04</v>
      </c>
      <c r="J860">
        <v>0</v>
      </c>
      <c r="K860">
        <v>314.95</v>
      </c>
    </row>
    <row r="861" spans="1:11" x14ac:dyDescent="0.3">
      <c r="A861" s="1">
        <v>45258</v>
      </c>
      <c r="B861" t="s">
        <v>23</v>
      </c>
      <c r="C861" t="s">
        <v>24</v>
      </c>
      <c r="D861" t="s">
        <v>19</v>
      </c>
      <c r="E861" t="s">
        <v>20</v>
      </c>
      <c r="F861" t="s">
        <v>22</v>
      </c>
      <c r="G861">
        <v>90.54</v>
      </c>
      <c r="H861">
        <v>13</v>
      </c>
      <c r="I861">
        <v>780.42</v>
      </c>
      <c r="J861">
        <v>3</v>
      </c>
      <c r="K861">
        <v>644.48</v>
      </c>
    </row>
    <row r="862" spans="1:11" x14ac:dyDescent="0.3">
      <c r="A862" s="1">
        <v>45169</v>
      </c>
      <c r="B862" t="s">
        <v>17</v>
      </c>
      <c r="C862" t="s">
        <v>12</v>
      </c>
      <c r="D862" t="s">
        <v>13</v>
      </c>
      <c r="E862" t="s">
        <v>20</v>
      </c>
      <c r="F862" t="s">
        <v>26</v>
      </c>
      <c r="G862">
        <v>191.02</v>
      </c>
      <c r="H862">
        <v>13</v>
      </c>
      <c r="I862">
        <v>1090.72</v>
      </c>
      <c r="J862">
        <v>0</v>
      </c>
      <c r="K862">
        <v>899.7</v>
      </c>
    </row>
    <row r="863" spans="1:11" x14ac:dyDescent="0.3">
      <c r="A863" s="1">
        <v>45011</v>
      </c>
      <c r="B863" t="s">
        <v>11</v>
      </c>
      <c r="C863" t="s">
        <v>12</v>
      </c>
      <c r="D863" t="s">
        <v>25</v>
      </c>
      <c r="E863" t="s">
        <v>20</v>
      </c>
      <c r="F863" t="s">
        <v>16</v>
      </c>
      <c r="G863">
        <v>173.31</v>
      </c>
      <c r="H863">
        <v>1</v>
      </c>
      <c r="I863">
        <v>84.02</v>
      </c>
      <c r="J863">
        <v>1</v>
      </c>
      <c r="K863">
        <v>-120.67</v>
      </c>
    </row>
    <row r="864" spans="1:11" x14ac:dyDescent="0.3">
      <c r="A864" s="1">
        <v>45012</v>
      </c>
      <c r="B864" t="s">
        <v>11</v>
      </c>
      <c r="C864" t="s">
        <v>18</v>
      </c>
      <c r="D864" t="s">
        <v>19</v>
      </c>
      <c r="E864" t="s">
        <v>20</v>
      </c>
      <c r="F864" t="s">
        <v>22</v>
      </c>
      <c r="G864">
        <v>178.01</v>
      </c>
      <c r="H864">
        <v>17</v>
      </c>
      <c r="I864">
        <v>1640.72</v>
      </c>
      <c r="J864">
        <v>0</v>
      </c>
      <c r="K864">
        <v>1462.71</v>
      </c>
    </row>
    <row r="865" spans="1:11" x14ac:dyDescent="0.3">
      <c r="A865" s="1">
        <v>45074</v>
      </c>
      <c r="B865" t="s">
        <v>11</v>
      </c>
      <c r="C865" t="s">
        <v>12</v>
      </c>
      <c r="D865" t="s">
        <v>27</v>
      </c>
      <c r="E865" t="s">
        <v>20</v>
      </c>
      <c r="F865" t="s">
        <v>15</v>
      </c>
      <c r="G865">
        <v>85.02</v>
      </c>
      <c r="H865">
        <v>18</v>
      </c>
      <c r="I865">
        <v>977.32</v>
      </c>
      <c r="J865">
        <v>2</v>
      </c>
      <c r="K865">
        <v>856.3</v>
      </c>
    </row>
    <row r="866" spans="1:11" x14ac:dyDescent="0.3">
      <c r="A866" s="1">
        <v>45088</v>
      </c>
      <c r="B866" t="s">
        <v>17</v>
      </c>
      <c r="C866" t="s">
        <v>12</v>
      </c>
      <c r="D866" t="s">
        <v>25</v>
      </c>
      <c r="E866" t="s">
        <v>20</v>
      </c>
      <c r="F866" t="s">
        <v>22</v>
      </c>
      <c r="G866">
        <v>47.5</v>
      </c>
      <c r="H866">
        <v>3</v>
      </c>
      <c r="I866">
        <v>191.26</v>
      </c>
      <c r="J866">
        <v>1</v>
      </c>
      <c r="K866">
        <v>97.42</v>
      </c>
    </row>
    <row r="867" spans="1:11" x14ac:dyDescent="0.3">
      <c r="A867" s="1">
        <v>45158</v>
      </c>
      <c r="B867" t="s">
        <v>17</v>
      </c>
      <c r="C867" t="s">
        <v>29</v>
      </c>
      <c r="D867" t="s">
        <v>13</v>
      </c>
      <c r="E867" t="s">
        <v>14</v>
      </c>
      <c r="F867" t="s">
        <v>26</v>
      </c>
      <c r="G867">
        <v>141.87</v>
      </c>
      <c r="H867">
        <v>14</v>
      </c>
      <c r="I867">
        <v>1115.71</v>
      </c>
      <c r="J867">
        <v>2</v>
      </c>
      <c r="K867">
        <v>878.69</v>
      </c>
    </row>
    <row r="868" spans="1:11" x14ac:dyDescent="0.3">
      <c r="A868" s="1">
        <v>45227</v>
      </c>
      <c r="B868" t="s">
        <v>23</v>
      </c>
      <c r="C868" t="s">
        <v>18</v>
      </c>
      <c r="D868" t="s">
        <v>28</v>
      </c>
      <c r="E868" t="s">
        <v>20</v>
      </c>
      <c r="F868" t="s">
        <v>26</v>
      </c>
      <c r="G868">
        <v>73.77</v>
      </c>
      <c r="H868">
        <v>8</v>
      </c>
      <c r="I868">
        <v>731.64</v>
      </c>
      <c r="J868">
        <v>0</v>
      </c>
      <c r="K868">
        <v>657.87</v>
      </c>
    </row>
    <row r="869" spans="1:11" x14ac:dyDescent="0.3">
      <c r="A869" s="1">
        <v>45008</v>
      </c>
      <c r="B869" t="s">
        <v>11</v>
      </c>
      <c r="C869" t="s">
        <v>12</v>
      </c>
      <c r="D869" t="s">
        <v>28</v>
      </c>
      <c r="E869" t="s">
        <v>20</v>
      </c>
      <c r="F869" t="s">
        <v>15</v>
      </c>
      <c r="G869">
        <v>21.21</v>
      </c>
      <c r="H869">
        <v>15</v>
      </c>
      <c r="I869">
        <v>1205.56</v>
      </c>
      <c r="J869">
        <v>0</v>
      </c>
      <c r="K869">
        <v>1184.3499999999999</v>
      </c>
    </row>
    <row r="870" spans="1:11" x14ac:dyDescent="0.3">
      <c r="A870" s="1">
        <v>44991</v>
      </c>
      <c r="B870" t="s">
        <v>11</v>
      </c>
      <c r="C870" t="s">
        <v>12</v>
      </c>
      <c r="D870" t="s">
        <v>19</v>
      </c>
      <c r="E870" t="s">
        <v>20</v>
      </c>
      <c r="F870" t="s">
        <v>16</v>
      </c>
      <c r="G870">
        <v>64.25</v>
      </c>
      <c r="H870">
        <v>17</v>
      </c>
      <c r="I870">
        <v>272.44</v>
      </c>
      <c r="J870">
        <v>1</v>
      </c>
      <c r="K870">
        <v>182.29</v>
      </c>
    </row>
    <row r="871" spans="1:11" x14ac:dyDescent="0.3">
      <c r="A871" s="1">
        <v>45244</v>
      </c>
      <c r="B871" t="s">
        <v>23</v>
      </c>
      <c r="C871" t="s">
        <v>18</v>
      </c>
      <c r="D871" t="s">
        <v>28</v>
      </c>
      <c r="E871" t="s">
        <v>20</v>
      </c>
      <c r="F871" t="s">
        <v>22</v>
      </c>
      <c r="G871">
        <v>49.81</v>
      </c>
      <c r="H871">
        <v>17</v>
      </c>
      <c r="I871">
        <v>1649.27</v>
      </c>
      <c r="J871">
        <v>0</v>
      </c>
      <c r="K871">
        <v>1599.46</v>
      </c>
    </row>
    <row r="872" spans="1:11" x14ac:dyDescent="0.3">
      <c r="A872" s="1">
        <v>45253</v>
      </c>
      <c r="B872" t="s">
        <v>23</v>
      </c>
      <c r="C872" t="s">
        <v>29</v>
      </c>
      <c r="D872" t="s">
        <v>27</v>
      </c>
      <c r="E872" t="s">
        <v>20</v>
      </c>
      <c r="F872" t="s">
        <v>22</v>
      </c>
      <c r="G872">
        <v>137.81</v>
      </c>
      <c r="H872">
        <v>15</v>
      </c>
      <c r="I872">
        <v>1198.51</v>
      </c>
      <c r="J872">
        <v>1</v>
      </c>
      <c r="K872">
        <v>1011.58</v>
      </c>
    </row>
    <row r="873" spans="1:11" x14ac:dyDescent="0.3">
      <c r="A873" s="1">
        <v>45198</v>
      </c>
      <c r="B873" t="s">
        <v>23</v>
      </c>
      <c r="C873" t="s">
        <v>29</v>
      </c>
      <c r="D873" t="s">
        <v>19</v>
      </c>
      <c r="E873" t="s">
        <v>14</v>
      </c>
      <c r="F873" t="s">
        <v>22</v>
      </c>
      <c r="G873">
        <v>182.51</v>
      </c>
      <c r="H873">
        <v>13</v>
      </c>
      <c r="I873">
        <v>1220.28</v>
      </c>
      <c r="J873">
        <v>2</v>
      </c>
      <c r="K873">
        <v>964.91</v>
      </c>
    </row>
    <row r="874" spans="1:11" x14ac:dyDescent="0.3">
      <c r="A874" s="1">
        <v>44941</v>
      </c>
      <c r="B874" t="s">
        <v>21</v>
      </c>
      <c r="C874" t="s">
        <v>29</v>
      </c>
      <c r="D874" t="s">
        <v>19</v>
      </c>
      <c r="E874" t="s">
        <v>20</v>
      </c>
      <c r="F874" t="s">
        <v>22</v>
      </c>
      <c r="G874">
        <v>125.16</v>
      </c>
      <c r="H874">
        <v>18</v>
      </c>
      <c r="I874">
        <v>1796.18</v>
      </c>
      <c r="J874">
        <v>0</v>
      </c>
      <c r="K874">
        <v>1671.02</v>
      </c>
    </row>
    <row r="875" spans="1:11" x14ac:dyDescent="0.3">
      <c r="A875" s="1">
        <v>45262</v>
      </c>
      <c r="B875" t="s">
        <v>21</v>
      </c>
      <c r="C875" t="s">
        <v>18</v>
      </c>
      <c r="D875" t="s">
        <v>28</v>
      </c>
      <c r="E875" t="s">
        <v>20</v>
      </c>
      <c r="F875" t="s">
        <v>26</v>
      </c>
      <c r="G875">
        <v>175.46</v>
      </c>
      <c r="H875">
        <v>11</v>
      </c>
      <c r="I875">
        <v>698.36</v>
      </c>
      <c r="J875">
        <v>1</v>
      </c>
      <c r="K875">
        <v>475.07</v>
      </c>
    </row>
    <row r="876" spans="1:11" x14ac:dyDescent="0.3">
      <c r="A876" s="1">
        <v>45115</v>
      </c>
      <c r="B876" t="s">
        <v>17</v>
      </c>
      <c r="C876" t="s">
        <v>18</v>
      </c>
      <c r="D876" t="s">
        <v>28</v>
      </c>
      <c r="E876" t="s">
        <v>20</v>
      </c>
      <c r="F876" t="s">
        <v>26</v>
      </c>
      <c r="G876">
        <v>5.29</v>
      </c>
      <c r="H876">
        <v>5</v>
      </c>
      <c r="I876">
        <v>376.3</v>
      </c>
      <c r="J876">
        <v>0</v>
      </c>
      <c r="K876">
        <v>371.01</v>
      </c>
    </row>
    <row r="877" spans="1:11" x14ac:dyDescent="0.3">
      <c r="A877" s="1">
        <v>44948</v>
      </c>
      <c r="B877" t="s">
        <v>21</v>
      </c>
      <c r="C877" t="s">
        <v>29</v>
      </c>
      <c r="D877" t="s">
        <v>28</v>
      </c>
      <c r="E877" t="s">
        <v>14</v>
      </c>
      <c r="F877" t="s">
        <v>26</v>
      </c>
      <c r="G877">
        <v>63.27</v>
      </c>
      <c r="H877">
        <v>4</v>
      </c>
      <c r="I877">
        <v>160.19999999999999</v>
      </c>
      <c r="J877">
        <v>2</v>
      </c>
      <c r="K877">
        <v>23.33</v>
      </c>
    </row>
    <row r="878" spans="1:11" x14ac:dyDescent="0.3">
      <c r="A878" s="1">
        <v>44948</v>
      </c>
      <c r="B878" t="s">
        <v>21</v>
      </c>
      <c r="C878" t="s">
        <v>29</v>
      </c>
      <c r="D878" t="s">
        <v>25</v>
      </c>
      <c r="E878" t="s">
        <v>20</v>
      </c>
      <c r="F878" t="s">
        <v>15</v>
      </c>
      <c r="G878">
        <v>185.67</v>
      </c>
      <c r="H878">
        <v>7</v>
      </c>
      <c r="I878">
        <v>474.37</v>
      </c>
      <c r="J878">
        <v>3</v>
      </c>
      <c r="K878">
        <v>233.73</v>
      </c>
    </row>
    <row r="879" spans="1:11" x14ac:dyDescent="0.3">
      <c r="A879" s="1">
        <v>45177</v>
      </c>
      <c r="B879" t="s">
        <v>23</v>
      </c>
      <c r="C879" t="s">
        <v>24</v>
      </c>
      <c r="D879" t="s">
        <v>19</v>
      </c>
      <c r="E879" t="s">
        <v>14</v>
      </c>
      <c r="F879" t="s">
        <v>26</v>
      </c>
      <c r="G879">
        <v>95.9</v>
      </c>
      <c r="H879">
        <v>14</v>
      </c>
      <c r="I879">
        <v>446.45</v>
      </c>
      <c r="J879">
        <v>0</v>
      </c>
      <c r="K879">
        <v>350.55</v>
      </c>
    </row>
    <row r="880" spans="1:11" x14ac:dyDescent="0.3">
      <c r="A880" s="1">
        <v>45038</v>
      </c>
      <c r="B880" t="s">
        <v>11</v>
      </c>
      <c r="C880" t="s">
        <v>29</v>
      </c>
      <c r="D880" t="s">
        <v>13</v>
      </c>
      <c r="E880" t="s">
        <v>14</v>
      </c>
      <c r="F880" t="s">
        <v>15</v>
      </c>
      <c r="G880">
        <v>163.6</v>
      </c>
      <c r="H880">
        <v>10</v>
      </c>
      <c r="I880">
        <v>826.85</v>
      </c>
      <c r="J880">
        <v>2</v>
      </c>
      <c r="K880">
        <v>610.15</v>
      </c>
    </row>
    <row r="881" spans="1:11" x14ac:dyDescent="0.3">
      <c r="A881" s="1">
        <v>45290</v>
      </c>
      <c r="B881" t="s">
        <v>21</v>
      </c>
      <c r="C881" t="s">
        <v>18</v>
      </c>
      <c r="D881" t="s">
        <v>13</v>
      </c>
      <c r="E881" t="s">
        <v>14</v>
      </c>
      <c r="F881" t="s">
        <v>26</v>
      </c>
      <c r="G881">
        <v>132.46</v>
      </c>
      <c r="H881">
        <v>1</v>
      </c>
      <c r="I881">
        <v>99.08</v>
      </c>
      <c r="J881">
        <v>0</v>
      </c>
      <c r="K881">
        <v>-33.380000000000003</v>
      </c>
    </row>
    <row r="882" spans="1:11" x14ac:dyDescent="0.3">
      <c r="A882" s="1">
        <v>44960</v>
      </c>
      <c r="B882" t="s">
        <v>21</v>
      </c>
      <c r="C882" t="s">
        <v>18</v>
      </c>
      <c r="D882" t="s">
        <v>13</v>
      </c>
      <c r="E882" t="s">
        <v>14</v>
      </c>
      <c r="F882" t="s">
        <v>22</v>
      </c>
      <c r="G882">
        <v>153.47999999999999</v>
      </c>
      <c r="H882">
        <v>7</v>
      </c>
      <c r="I882">
        <v>634.65</v>
      </c>
      <c r="J882">
        <v>2</v>
      </c>
      <c r="K882">
        <v>416.88</v>
      </c>
    </row>
    <row r="883" spans="1:11" x14ac:dyDescent="0.3">
      <c r="A883" s="1">
        <v>45042</v>
      </c>
      <c r="B883" t="s">
        <v>11</v>
      </c>
      <c r="C883" t="s">
        <v>24</v>
      </c>
      <c r="D883" t="s">
        <v>25</v>
      </c>
      <c r="E883" t="s">
        <v>20</v>
      </c>
      <c r="F883" t="s">
        <v>22</v>
      </c>
      <c r="G883">
        <v>81.83</v>
      </c>
      <c r="H883">
        <v>4</v>
      </c>
      <c r="I883">
        <v>344.92</v>
      </c>
      <c r="J883">
        <v>3</v>
      </c>
      <c r="K883">
        <v>169.99</v>
      </c>
    </row>
    <row r="884" spans="1:11" x14ac:dyDescent="0.3">
      <c r="A884" s="1">
        <v>45227</v>
      </c>
      <c r="B884" t="s">
        <v>23</v>
      </c>
      <c r="C884" t="s">
        <v>12</v>
      </c>
      <c r="D884" t="s">
        <v>19</v>
      </c>
      <c r="E884" t="s">
        <v>20</v>
      </c>
      <c r="F884" t="s">
        <v>26</v>
      </c>
      <c r="G884">
        <v>17.25</v>
      </c>
      <c r="H884">
        <v>4</v>
      </c>
      <c r="I884">
        <v>160.4</v>
      </c>
      <c r="J884">
        <v>3</v>
      </c>
      <c r="K884">
        <v>67.760000000000005</v>
      </c>
    </row>
    <row r="885" spans="1:11" x14ac:dyDescent="0.3">
      <c r="A885" s="1">
        <v>45042</v>
      </c>
      <c r="B885" t="s">
        <v>11</v>
      </c>
      <c r="C885" t="s">
        <v>24</v>
      </c>
      <c r="D885" t="s">
        <v>25</v>
      </c>
      <c r="E885" t="s">
        <v>14</v>
      </c>
      <c r="F885" t="s">
        <v>22</v>
      </c>
      <c r="G885">
        <v>175.88</v>
      </c>
      <c r="H885">
        <v>3</v>
      </c>
      <c r="I885">
        <v>61.51</v>
      </c>
      <c r="J885">
        <v>2</v>
      </c>
      <c r="K885">
        <v>-126.37</v>
      </c>
    </row>
    <row r="886" spans="1:11" x14ac:dyDescent="0.3">
      <c r="A886" s="1">
        <v>44982</v>
      </c>
      <c r="B886" t="s">
        <v>21</v>
      </c>
      <c r="C886" t="s">
        <v>24</v>
      </c>
      <c r="D886" t="s">
        <v>13</v>
      </c>
      <c r="E886" t="s">
        <v>20</v>
      </c>
      <c r="F886" t="s">
        <v>22</v>
      </c>
      <c r="G886">
        <v>113.29</v>
      </c>
      <c r="H886">
        <v>18</v>
      </c>
      <c r="I886">
        <v>649.62</v>
      </c>
      <c r="J886">
        <v>0</v>
      </c>
      <c r="K886">
        <v>536.33000000000004</v>
      </c>
    </row>
    <row r="887" spans="1:11" x14ac:dyDescent="0.3">
      <c r="A887" s="1">
        <v>45259</v>
      </c>
      <c r="B887" t="s">
        <v>23</v>
      </c>
      <c r="C887" t="s">
        <v>12</v>
      </c>
      <c r="D887" t="s">
        <v>27</v>
      </c>
      <c r="E887" t="s">
        <v>14</v>
      </c>
      <c r="F887" t="s">
        <v>26</v>
      </c>
      <c r="G887">
        <v>18.100000000000001</v>
      </c>
      <c r="H887">
        <v>8</v>
      </c>
      <c r="I887">
        <v>273.52999999999997</v>
      </c>
      <c r="J887">
        <v>1</v>
      </c>
      <c r="K887">
        <v>232.38</v>
      </c>
    </row>
    <row r="888" spans="1:11" x14ac:dyDescent="0.3">
      <c r="A888" s="1">
        <v>45149</v>
      </c>
      <c r="B888" t="s">
        <v>17</v>
      </c>
      <c r="C888" t="s">
        <v>24</v>
      </c>
      <c r="D888" t="s">
        <v>27</v>
      </c>
      <c r="E888" t="s">
        <v>20</v>
      </c>
      <c r="F888" t="s">
        <v>26</v>
      </c>
      <c r="G888">
        <v>59.29</v>
      </c>
      <c r="H888">
        <v>16</v>
      </c>
      <c r="I888">
        <v>464.63</v>
      </c>
      <c r="J888">
        <v>0</v>
      </c>
      <c r="K888">
        <v>405.34</v>
      </c>
    </row>
    <row r="889" spans="1:11" x14ac:dyDescent="0.3">
      <c r="A889" s="1">
        <v>45066</v>
      </c>
      <c r="B889" t="s">
        <v>11</v>
      </c>
      <c r="C889" t="s">
        <v>24</v>
      </c>
      <c r="D889" t="s">
        <v>27</v>
      </c>
      <c r="E889" t="s">
        <v>14</v>
      </c>
      <c r="F889" t="s">
        <v>22</v>
      </c>
      <c r="G889">
        <v>19.04</v>
      </c>
      <c r="H889">
        <v>17</v>
      </c>
      <c r="I889">
        <v>1021</v>
      </c>
      <c r="J889">
        <v>2</v>
      </c>
      <c r="K889">
        <v>912.64</v>
      </c>
    </row>
    <row r="890" spans="1:11" x14ac:dyDescent="0.3">
      <c r="A890" s="1">
        <v>45006</v>
      </c>
      <c r="B890" t="s">
        <v>11</v>
      </c>
      <c r="C890" t="s">
        <v>29</v>
      </c>
      <c r="D890" t="s">
        <v>13</v>
      </c>
      <c r="E890" t="s">
        <v>14</v>
      </c>
      <c r="F890" t="s">
        <v>26</v>
      </c>
      <c r="G890">
        <v>192.51</v>
      </c>
      <c r="H890">
        <v>1</v>
      </c>
      <c r="I890">
        <v>19.670000000000002</v>
      </c>
      <c r="J890">
        <v>0</v>
      </c>
      <c r="K890">
        <v>-172.84</v>
      </c>
    </row>
    <row r="891" spans="1:11" x14ac:dyDescent="0.3">
      <c r="A891" s="1">
        <v>44935</v>
      </c>
      <c r="B891" t="s">
        <v>21</v>
      </c>
      <c r="C891" t="s">
        <v>29</v>
      </c>
      <c r="D891" t="s">
        <v>19</v>
      </c>
      <c r="E891" t="s">
        <v>20</v>
      </c>
      <c r="F891" t="s">
        <v>16</v>
      </c>
      <c r="G891">
        <v>57.27</v>
      </c>
      <c r="H891">
        <v>18</v>
      </c>
      <c r="I891">
        <v>1604.67</v>
      </c>
      <c r="J891">
        <v>3</v>
      </c>
      <c r="K891">
        <v>1529.25</v>
      </c>
    </row>
    <row r="892" spans="1:11" x14ac:dyDescent="0.3">
      <c r="A892" s="1">
        <v>45161</v>
      </c>
      <c r="B892" t="s">
        <v>17</v>
      </c>
      <c r="C892" t="s">
        <v>12</v>
      </c>
      <c r="D892" t="s">
        <v>19</v>
      </c>
      <c r="E892" t="s">
        <v>20</v>
      </c>
      <c r="F892" t="s">
        <v>26</v>
      </c>
      <c r="G892">
        <v>136.63999999999999</v>
      </c>
      <c r="H892">
        <v>13</v>
      </c>
      <c r="I892">
        <v>899.93</v>
      </c>
      <c r="J892">
        <v>2</v>
      </c>
      <c r="K892">
        <v>678.83</v>
      </c>
    </row>
    <row r="893" spans="1:11" x14ac:dyDescent="0.3">
      <c r="A893" s="1">
        <v>45261</v>
      </c>
      <c r="B893" t="s">
        <v>21</v>
      </c>
      <c r="C893" t="s">
        <v>12</v>
      </c>
      <c r="D893" t="s">
        <v>19</v>
      </c>
      <c r="E893" t="s">
        <v>14</v>
      </c>
      <c r="F893" t="s">
        <v>22</v>
      </c>
      <c r="G893">
        <v>30.74</v>
      </c>
      <c r="H893">
        <v>17</v>
      </c>
      <c r="I893">
        <v>1340.53</v>
      </c>
      <c r="J893">
        <v>1</v>
      </c>
      <c r="K893">
        <v>1292.56</v>
      </c>
    </row>
    <row r="894" spans="1:11" x14ac:dyDescent="0.3">
      <c r="A894" s="1">
        <v>45231</v>
      </c>
      <c r="B894" t="s">
        <v>23</v>
      </c>
      <c r="C894" t="s">
        <v>18</v>
      </c>
      <c r="D894" t="s">
        <v>25</v>
      </c>
      <c r="E894" t="s">
        <v>20</v>
      </c>
      <c r="F894" t="s">
        <v>26</v>
      </c>
      <c r="G894">
        <v>5.71</v>
      </c>
      <c r="H894">
        <v>13</v>
      </c>
      <c r="I894">
        <v>1162.0999999999999</v>
      </c>
      <c r="J894">
        <v>3</v>
      </c>
      <c r="K894">
        <v>1006.97</v>
      </c>
    </row>
    <row r="895" spans="1:11" x14ac:dyDescent="0.3">
      <c r="A895" s="1">
        <v>44948</v>
      </c>
      <c r="B895" t="s">
        <v>21</v>
      </c>
      <c r="C895" t="s">
        <v>24</v>
      </c>
      <c r="D895" t="s">
        <v>19</v>
      </c>
      <c r="E895" t="s">
        <v>20</v>
      </c>
      <c r="F895" t="s">
        <v>26</v>
      </c>
      <c r="G895">
        <v>128.47</v>
      </c>
      <c r="H895">
        <v>12</v>
      </c>
      <c r="I895">
        <v>152.12</v>
      </c>
      <c r="J895">
        <v>1</v>
      </c>
      <c r="K895">
        <v>-5.45</v>
      </c>
    </row>
    <row r="896" spans="1:11" x14ac:dyDescent="0.3">
      <c r="A896" s="1">
        <v>45254</v>
      </c>
      <c r="B896" t="s">
        <v>23</v>
      </c>
      <c r="C896" t="s">
        <v>18</v>
      </c>
      <c r="D896" t="s">
        <v>19</v>
      </c>
      <c r="E896" t="s">
        <v>14</v>
      </c>
      <c r="F896" t="s">
        <v>22</v>
      </c>
      <c r="G896">
        <v>10.69</v>
      </c>
      <c r="H896">
        <v>3</v>
      </c>
      <c r="I896">
        <v>86.37</v>
      </c>
      <c r="J896">
        <v>3</v>
      </c>
      <c r="K896">
        <v>16.64</v>
      </c>
    </row>
    <row r="897" spans="1:11" x14ac:dyDescent="0.3">
      <c r="A897" s="1">
        <v>45006</v>
      </c>
      <c r="B897" t="s">
        <v>11</v>
      </c>
      <c r="C897" t="s">
        <v>18</v>
      </c>
      <c r="D897" t="s">
        <v>13</v>
      </c>
      <c r="E897" t="s">
        <v>14</v>
      </c>
      <c r="F897" t="s">
        <v>26</v>
      </c>
      <c r="G897">
        <v>70.27</v>
      </c>
      <c r="H897">
        <v>10</v>
      </c>
      <c r="I897">
        <v>943.46</v>
      </c>
      <c r="J897">
        <v>1</v>
      </c>
      <c r="K897">
        <v>829.86</v>
      </c>
    </row>
    <row r="898" spans="1:11" x14ac:dyDescent="0.3">
      <c r="A898" s="1">
        <v>45055</v>
      </c>
      <c r="B898" t="s">
        <v>11</v>
      </c>
      <c r="C898" t="s">
        <v>29</v>
      </c>
      <c r="D898" t="s">
        <v>28</v>
      </c>
      <c r="E898" t="s">
        <v>14</v>
      </c>
      <c r="F898" t="s">
        <v>22</v>
      </c>
      <c r="G898">
        <v>160.63</v>
      </c>
      <c r="H898">
        <v>2</v>
      </c>
      <c r="I898">
        <v>146.66</v>
      </c>
      <c r="J898">
        <v>2</v>
      </c>
      <c r="K898">
        <v>-90.9</v>
      </c>
    </row>
    <row r="899" spans="1:11" x14ac:dyDescent="0.3">
      <c r="A899" s="1">
        <v>45138</v>
      </c>
      <c r="B899" t="s">
        <v>17</v>
      </c>
      <c r="C899" t="s">
        <v>18</v>
      </c>
      <c r="D899" t="s">
        <v>19</v>
      </c>
      <c r="E899" t="s">
        <v>20</v>
      </c>
      <c r="F899" t="s">
        <v>26</v>
      </c>
      <c r="G899">
        <v>149.07</v>
      </c>
      <c r="H899">
        <v>18</v>
      </c>
      <c r="I899">
        <v>526.71</v>
      </c>
      <c r="J899">
        <v>0</v>
      </c>
      <c r="K899">
        <v>377.64</v>
      </c>
    </row>
    <row r="900" spans="1:11" x14ac:dyDescent="0.3">
      <c r="A900" s="1">
        <v>45257</v>
      </c>
      <c r="B900" t="s">
        <v>23</v>
      </c>
      <c r="C900" t="s">
        <v>24</v>
      </c>
      <c r="D900" t="s">
        <v>19</v>
      </c>
      <c r="E900" t="s">
        <v>14</v>
      </c>
      <c r="F900" t="s">
        <v>22</v>
      </c>
      <c r="G900">
        <v>100.76</v>
      </c>
      <c r="H900">
        <v>2</v>
      </c>
      <c r="I900">
        <v>149.15</v>
      </c>
      <c r="J900">
        <v>1</v>
      </c>
      <c r="K900">
        <v>19.57</v>
      </c>
    </row>
    <row r="901" spans="1:11" x14ac:dyDescent="0.3">
      <c r="A901" s="1">
        <v>44954</v>
      </c>
      <c r="B901" t="s">
        <v>21</v>
      </c>
      <c r="C901" t="s">
        <v>18</v>
      </c>
      <c r="D901" t="s">
        <v>19</v>
      </c>
      <c r="E901" t="s">
        <v>14</v>
      </c>
      <c r="F901" t="s">
        <v>26</v>
      </c>
      <c r="G901">
        <v>142.44999999999999</v>
      </c>
      <c r="H901">
        <v>16</v>
      </c>
      <c r="I901">
        <v>175.92</v>
      </c>
      <c r="J901">
        <v>1</v>
      </c>
      <c r="K901">
        <v>-4.1399999999999997</v>
      </c>
    </row>
    <row r="902" spans="1:11" x14ac:dyDescent="0.3">
      <c r="A902" s="1">
        <v>45002</v>
      </c>
      <c r="B902" t="s">
        <v>11</v>
      </c>
      <c r="C902" t="s">
        <v>18</v>
      </c>
      <c r="D902" t="s">
        <v>19</v>
      </c>
      <c r="E902" t="s">
        <v>14</v>
      </c>
      <c r="F902" t="s">
        <v>22</v>
      </c>
      <c r="G902">
        <v>128.6</v>
      </c>
      <c r="H902">
        <v>7</v>
      </c>
      <c r="I902">
        <v>624.28</v>
      </c>
      <c r="J902">
        <v>0</v>
      </c>
      <c r="K902">
        <v>495.68</v>
      </c>
    </row>
    <row r="903" spans="1:11" x14ac:dyDescent="0.3">
      <c r="A903" s="1">
        <v>44996</v>
      </c>
      <c r="B903" t="s">
        <v>11</v>
      </c>
      <c r="C903" t="s">
        <v>24</v>
      </c>
      <c r="D903" t="s">
        <v>28</v>
      </c>
      <c r="E903" t="s">
        <v>14</v>
      </c>
      <c r="F903" t="s">
        <v>26</v>
      </c>
      <c r="G903">
        <v>126.71</v>
      </c>
      <c r="H903">
        <v>11</v>
      </c>
      <c r="I903">
        <v>1020.07</v>
      </c>
      <c r="J903">
        <v>2</v>
      </c>
      <c r="K903">
        <v>878.22</v>
      </c>
    </row>
    <row r="904" spans="1:11" x14ac:dyDescent="0.3">
      <c r="A904" s="1">
        <v>44938</v>
      </c>
      <c r="B904" t="s">
        <v>21</v>
      </c>
      <c r="C904" t="s">
        <v>29</v>
      </c>
      <c r="D904" t="s">
        <v>13</v>
      </c>
      <c r="E904" t="s">
        <v>20</v>
      </c>
      <c r="F904" t="s">
        <v>16</v>
      </c>
      <c r="G904">
        <v>23.93</v>
      </c>
      <c r="H904">
        <v>4</v>
      </c>
      <c r="I904">
        <v>90.68</v>
      </c>
      <c r="J904">
        <v>2</v>
      </c>
      <c r="K904">
        <v>24.44</v>
      </c>
    </row>
    <row r="905" spans="1:11" x14ac:dyDescent="0.3">
      <c r="A905" s="1">
        <v>44968</v>
      </c>
      <c r="B905" t="s">
        <v>21</v>
      </c>
      <c r="C905" t="s">
        <v>24</v>
      </c>
      <c r="D905" t="s">
        <v>28</v>
      </c>
      <c r="E905" t="s">
        <v>20</v>
      </c>
      <c r="F905" t="s">
        <v>22</v>
      </c>
      <c r="G905">
        <v>84.1</v>
      </c>
      <c r="H905">
        <v>18</v>
      </c>
      <c r="I905">
        <v>316.11</v>
      </c>
      <c r="J905">
        <v>2</v>
      </c>
      <c r="K905">
        <v>220.61</v>
      </c>
    </row>
    <row r="906" spans="1:11" x14ac:dyDescent="0.3">
      <c r="A906" s="1">
        <v>45206</v>
      </c>
      <c r="B906" t="s">
        <v>23</v>
      </c>
      <c r="C906" t="s">
        <v>12</v>
      </c>
      <c r="D906" t="s">
        <v>25</v>
      </c>
      <c r="E906" t="s">
        <v>14</v>
      </c>
      <c r="F906" t="s">
        <v>15</v>
      </c>
      <c r="G906">
        <v>177.19</v>
      </c>
      <c r="H906">
        <v>14</v>
      </c>
      <c r="I906">
        <v>765.79</v>
      </c>
      <c r="J906">
        <v>3</v>
      </c>
      <c r="K906">
        <v>511.4</v>
      </c>
    </row>
    <row r="907" spans="1:11" x14ac:dyDescent="0.3">
      <c r="A907" s="1">
        <v>45004</v>
      </c>
      <c r="B907" t="s">
        <v>11</v>
      </c>
      <c r="C907" t="s">
        <v>24</v>
      </c>
      <c r="D907" t="s">
        <v>25</v>
      </c>
      <c r="E907" t="s">
        <v>20</v>
      </c>
      <c r="F907" t="s">
        <v>15</v>
      </c>
      <c r="G907">
        <v>83.92</v>
      </c>
      <c r="H907">
        <v>5</v>
      </c>
      <c r="I907">
        <v>349.59</v>
      </c>
      <c r="J907">
        <v>0</v>
      </c>
      <c r="K907">
        <v>265.67</v>
      </c>
    </row>
    <row r="908" spans="1:11" x14ac:dyDescent="0.3">
      <c r="A908" s="1">
        <v>45155</v>
      </c>
      <c r="B908" t="s">
        <v>17</v>
      </c>
      <c r="C908" t="s">
        <v>24</v>
      </c>
      <c r="D908" t="s">
        <v>13</v>
      </c>
      <c r="E908" t="s">
        <v>20</v>
      </c>
      <c r="F908" t="s">
        <v>26</v>
      </c>
      <c r="G908">
        <v>103.08</v>
      </c>
      <c r="H908">
        <v>4</v>
      </c>
      <c r="I908">
        <v>397.46</v>
      </c>
      <c r="J908">
        <v>3</v>
      </c>
      <c r="K908">
        <v>219.45</v>
      </c>
    </row>
    <row r="909" spans="1:11" x14ac:dyDescent="0.3">
      <c r="A909" s="1">
        <v>45178</v>
      </c>
      <c r="B909" t="s">
        <v>23</v>
      </c>
      <c r="C909" t="s">
        <v>29</v>
      </c>
      <c r="D909" t="s">
        <v>25</v>
      </c>
      <c r="E909" t="s">
        <v>14</v>
      </c>
      <c r="F909" t="s">
        <v>26</v>
      </c>
      <c r="G909">
        <v>36.76</v>
      </c>
      <c r="H909">
        <v>3</v>
      </c>
      <c r="I909">
        <v>121.42</v>
      </c>
      <c r="J909">
        <v>1</v>
      </c>
      <c r="K909">
        <v>56.72</v>
      </c>
    </row>
    <row r="910" spans="1:11" x14ac:dyDescent="0.3">
      <c r="A910" s="1">
        <v>45016</v>
      </c>
      <c r="B910" t="s">
        <v>11</v>
      </c>
      <c r="C910" t="s">
        <v>12</v>
      </c>
      <c r="D910" t="s">
        <v>27</v>
      </c>
      <c r="E910" t="s">
        <v>14</v>
      </c>
      <c r="F910" t="s">
        <v>15</v>
      </c>
      <c r="G910">
        <v>190.29</v>
      </c>
      <c r="H910">
        <v>16</v>
      </c>
      <c r="I910">
        <v>783.64</v>
      </c>
      <c r="J910">
        <v>0</v>
      </c>
      <c r="K910">
        <v>593.35</v>
      </c>
    </row>
    <row r="911" spans="1:11" x14ac:dyDescent="0.3">
      <c r="A911" s="1">
        <v>44944</v>
      </c>
      <c r="B911" t="s">
        <v>21</v>
      </c>
      <c r="C911" t="s">
        <v>12</v>
      </c>
      <c r="D911" t="s">
        <v>27</v>
      </c>
      <c r="E911" t="s">
        <v>14</v>
      </c>
      <c r="F911" t="s">
        <v>22</v>
      </c>
      <c r="G911">
        <v>155.69</v>
      </c>
      <c r="H911">
        <v>12</v>
      </c>
      <c r="I911">
        <v>806.06</v>
      </c>
      <c r="J911">
        <v>0</v>
      </c>
      <c r="K911">
        <v>650.37</v>
      </c>
    </row>
    <row r="912" spans="1:11" x14ac:dyDescent="0.3">
      <c r="A912" s="1">
        <v>44975</v>
      </c>
      <c r="B912" t="s">
        <v>21</v>
      </c>
      <c r="C912" t="s">
        <v>29</v>
      </c>
      <c r="D912" t="s">
        <v>13</v>
      </c>
      <c r="E912" t="s">
        <v>20</v>
      </c>
      <c r="F912" t="s">
        <v>22</v>
      </c>
      <c r="G912">
        <v>166.05</v>
      </c>
      <c r="H912">
        <v>3</v>
      </c>
      <c r="I912">
        <v>48.52</v>
      </c>
      <c r="J912">
        <v>2</v>
      </c>
      <c r="K912">
        <v>-162.38999999999999</v>
      </c>
    </row>
    <row r="913" spans="1:11" x14ac:dyDescent="0.3">
      <c r="A913" s="1">
        <v>45107</v>
      </c>
      <c r="B913" t="s">
        <v>17</v>
      </c>
      <c r="C913" t="s">
        <v>18</v>
      </c>
      <c r="D913" t="s">
        <v>19</v>
      </c>
      <c r="E913" t="s">
        <v>14</v>
      </c>
      <c r="F913" t="s">
        <v>16</v>
      </c>
      <c r="G913">
        <v>113.5</v>
      </c>
      <c r="H913">
        <v>4</v>
      </c>
      <c r="I913">
        <v>374.41</v>
      </c>
      <c r="J913">
        <v>1</v>
      </c>
      <c r="K913">
        <v>253.08</v>
      </c>
    </row>
    <row r="914" spans="1:11" x14ac:dyDescent="0.3">
      <c r="A914" s="1">
        <v>45038</v>
      </c>
      <c r="B914" t="s">
        <v>11</v>
      </c>
      <c r="C914" t="s">
        <v>12</v>
      </c>
      <c r="D914" t="s">
        <v>27</v>
      </c>
      <c r="E914" t="s">
        <v>14</v>
      </c>
      <c r="F914" t="s">
        <v>22</v>
      </c>
      <c r="G914">
        <v>127.54</v>
      </c>
      <c r="H914">
        <v>5</v>
      </c>
      <c r="I914">
        <v>254.41</v>
      </c>
      <c r="J914">
        <v>1</v>
      </c>
      <c r="K914">
        <v>100.24</v>
      </c>
    </row>
    <row r="915" spans="1:11" x14ac:dyDescent="0.3">
      <c r="A915" s="1">
        <v>45153</v>
      </c>
      <c r="B915" t="s">
        <v>17</v>
      </c>
      <c r="C915" t="s">
        <v>12</v>
      </c>
      <c r="D915" t="s">
        <v>28</v>
      </c>
      <c r="E915" t="s">
        <v>20</v>
      </c>
      <c r="F915" t="s">
        <v>16</v>
      </c>
      <c r="G915">
        <v>100.33</v>
      </c>
      <c r="H915">
        <v>2</v>
      </c>
      <c r="I915">
        <v>119.49</v>
      </c>
      <c r="J915">
        <v>1</v>
      </c>
      <c r="K915">
        <v>-29.29</v>
      </c>
    </row>
    <row r="916" spans="1:11" x14ac:dyDescent="0.3">
      <c r="A916" s="1">
        <v>45220</v>
      </c>
      <c r="B916" t="s">
        <v>23</v>
      </c>
      <c r="C916" t="s">
        <v>24</v>
      </c>
      <c r="D916" t="s">
        <v>27</v>
      </c>
      <c r="E916" t="s">
        <v>14</v>
      </c>
      <c r="F916" t="s">
        <v>15</v>
      </c>
      <c r="G916">
        <v>14.41</v>
      </c>
      <c r="H916">
        <v>11</v>
      </c>
      <c r="I916">
        <v>219.65</v>
      </c>
      <c r="J916">
        <v>3</v>
      </c>
      <c r="K916">
        <v>185.14</v>
      </c>
    </row>
    <row r="917" spans="1:11" x14ac:dyDescent="0.3">
      <c r="A917" s="1">
        <v>45235</v>
      </c>
      <c r="B917" t="s">
        <v>23</v>
      </c>
      <c r="C917" t="s">
        <v>29</v>
      </c>
      <c r="D917" t="s">
        <v>25</v>
      </c>
      <c r="E917" t="s">
        <v>20</v>
      </c>
      <c r="F917" t="s">
        <v>16</v>
      </c>
      <c r="G917">
        <v>32.130000000000003</v>
      </c>
      <c r="H917">
        <v>20</v>
      </c>
      <c r="I917">
        <v>1355.54</v>
      </c>
      <c r="J917">
        <v>0</v>
      </c>
      <c r="K917">
        <v>1323.41</v>
      </c>
    </row>
    <row r="918" spans="1:11" x14ac:dyDescent="0.3">
      <c r="A918" s="1">
        <v>45199</v>
      </c>
      <c r="B918" t="s">
        <v>23</v>
      </c>
      <c r="C918" t="s">
        <v>24</v>
      </c>
      <c r="D918" t="s">
        <v>13</v>
      </c>
      <c r="E918" t="s">
        <v>20</v>
      </c>
      <c r="F918" t="s">
        <v>22</v>
      </c>
      <c r="G918">
        <v>92.26</v>
      </c>
      <c r="H918">
        <v>13</v>
      </c>
      <c r="I918">
        <v>296</v>
      </c>
      <c r="J918">
        <v>2</v>
      </c>
      <c r="K918">
        <v>149.75</v>
      </c>
    </row>
    <row r="919" spans="1:11" x14ac:dyDescent="0.3">
      <c r="A919" s="1">
        <v>45217</v>
      </c>
      <c r="B919" t="s">
        <v>23</v>
      </c>
      <c r="C919" t="s">
        <v>24</v>
      </c>
      <c r="D919" t="s">
        <v>28</v>
      </c>
      <c r="E919" t="s">
        <v>14</v>
      </c>
      <c r="F919" t="s">
        <v>26</v>
      </c>
      <c r="G919">
        <v>84.96</v>
      </c>
      <c r="H919">
        <v>9</v>
      </c>
      <c r="I919">
        <v>429.06</v>
      </c>
      <c r="J919">
        <v>3</v>
      </c>
      <c r="K919">
        <v>308.5</v>
      </c>
    </row>
    <row r="920" spans="1:11" x14ac:dyDescent="0.3">
      <c r="A920" s="1">
        <v>45041</v>
      </c>
      <c r="B920" t="s">
        <v>11</v>
      </c>
      <c r="C920" t="s">
        <v>18</v>
      </c>
      <c r="D920" t="s">
        <v>19</v>
      </c>
      <c r="E920" t="s">
        <v>20</v>
      </c>
      <c r="F920" t="s">
        <v>15</v>
      </c>
      <c r="G920">
        <v>62.61</v>
      </c>
      <c r="H920">
        <v>20</v>
      </c>
      <c r="I920">
        <v>611.5</v>
      </c>
      <c r="J920">
        <v>0</v>
      </c>
      <c r="K920">
        <v>548.89</v>
      </c>
    </row>
    <row r="921" spans="1:11" x14ac:dyDescent="0.3">
      <c r="A921" s="1">
        <v>45020</v>
      </c>
      <c r="B921" t="s">
        <v>11</v>
      </c>
      <c r="C921" t="s">
        <v>29</v>
      </c>
      <c r="D921" t="s">
        <v>27</v>
      </c>
      <c r="E921" t="s">
        <v>14</v>
      </c>
      <c r="F921" t="s">
        <v>15</v>
      </c>
      <c r="G921">
        <v>156.94</v>
      </c>
      <c r="H921">
        <v>16</v>
      </c>
      <c r="I921">
        <v>828.44</v>
      </c>
      <c r="J921">
        <v>2</v>
      </c>
      <c r="K921">
        <v>606.92999999999995</v>
      </c>
    </row>
    <row r="922" spans="1:11" x14ac:dyDescent="0.3">
      <c r="A922" s="1">
        <v>44955</v>
      </c>
      <c r="B922" t="s">
        <v>21</v>
      </c>
      <c r="C922" t="s">
        <v>18</v>
      </c>
      <c r="D922" t="s">
        <v>28</v>
      </c>
      <c r="E922" t="s">
        <v>14</v>
      </c>
      <c r="F922" t="s">
        <v>15</v>
      </c>
      <c r="G922">
        <v>128.30000000000001</v>
      </c>
      <c r="H922">
        <v>13</v>
      </c>
      <c r="I922">
        <v>156.4</v>
      </c>
      <c r="J922">
        <v>0</v>
      </c>
      <c r="K922">
        <v>28.1</v>
      </c>
    </row>
    <row r="923" spans="1:11" x14ac:dyDescent="0.3">
      <c r="A923" s="1">
        <v>45044</v>
      </c>
      <c r="B923" t="s">
        <v>11</v>
      </c>
      <c r="C923" t="s">
        <v>12</v>
      </c>
      <c r="D923" t="s">
        <v>25</v>
      </c>
      <c r="E923" t="s">
        <v>14</v>
      </c>
      <c r="F923" t="s">
        <v>16</v>
      </c>
      <c r="G923">
        <v>163.99</v>
      </c>
      <c r="H923">
        <v>11</v>
      </c>
      <c r="I923">
        <v>1036.01</v>
      </c>
      <c r="J923">
        <v>2</v>
      </c>
      <c r="K923">
        <v>792.17</v>
      </c>
    </row>
    <row r="924" spans="1:11" x14ac:dyDescent="0.3">
      <c r="A924" s="1">
        <v>45093</v>
      </c>
      <c r="B924" t="s">
        <v>17</v>
      </c>
      <c r="C924" t="s">
        <v>24</v>
      </c>
      <c r="D924" t="s">
        <v>27</v>
      </c>
      <c r="E924" t="s">
        <v>14</v>
      </c>
      <c r="F924" t="s">
        <v>16</v>
      </c>
      <c r="G924">
        <v>88.6</v>
      </c>
      <c r="H924">
        <v>8</v>
      </c>
      <c r="I924">
        <v>232.16</v>
      </c>
      <c r="J924">
        <v>1</v>
      </c>
      <c r="K924">
        <v>124.1</v>
      </c>
    </row>
    <row r="925" spans="1:11" x14ac:dyDescent="0.3">
      <c r="A925" s="1">
        <v>45135</v>
      </c>
      <c r="B925" t="s">
        <v>17</v>
      </c>
      <c r="C925" t="s">
        <v>24</v>
      </c>
      <c r="D925" t="s">
        <v>13</v>
      </c>
      <c r="E925" t="s">
        <v>14</v>
      </c>
      <c r="F925" t="s">
        <v>22</v>
      </c>
      <c r="G925">
        <v>159.47</v>
      </c>
      <c r="H925">
        <v>9</v>
      </c>
      <c r="I925">
        <v>888.58</v>
      </c>
      <c r="J925">
        <v>3</v>
      </c>
      <c r="K925">
        <v>595.67999999999995</v>
      </c>
    </row>
    <row r="926" spans="1:11" x14ac:dyDescent="0.3">
      <c r="A926" s="1">
        <v>44971</v>
      </c>
      <c r="B926" t="s">
        <v>21</v>
      </c>
      <c r="C926" t="s">
        <v>12</v>
      </c>
      <c r="D926" t="s">
        <v>27</v>
      </c>
      <c r="E926" t="s">
        <v>20</v>
      </c>
      <c r="F926" t="s">
        <v>26</v>
      </c>
      <c r="G926">
        <v>52.41</v>
      </c>
      <c r="H926">
        <v>9</v>
      </c>
      <c r="I926">
        <v>195.3</v>
      </c>
      <c r="J926">
        <v>2</v>
      </c>
      <c r="K926">
        <v>47.22</v>
      </c>
    </row>
    <row r="927" spans="1:11" x14ac:dyDescent="0.3">
      <c r="A927" s="1">
        <v>45106</v>
      </c>
      <c r="B927" t="s">
        <v>17</v>
      </c>
      <c r="C927" t="s">
        <v>24</v>
      </c>
      <c r="D927" t="s">
        <v>19</v>
      </c>
      <c r="E927" t="s">
        <v>20</v>
      </c>
      <c r="F927" t="s">
        <v>26</v>
      </c>
      <c r="G927">
        <v>77.97</v>
      </c>
      <c r="H927">
        <v>6</v>
      </c>
      <c r="I927">
        <v>463.92</v>
      </c>
      <c r="J927">
        <v>3</v>
      </c>
      <c r="K927">
        <v>266.11</v>
      </c>
    </row>
    <row r="928" spans="1:11" x14ac:dyDescent="0.3">
      <c r="A928" s="1">
        <v>45245</v>
      </c>
      <c r="B928" t="s">
        <v>23</v>
      </c>
      <c r="C928" t="s">
        <v>29</v>
      </c>
      <c r="D928" t="s">
        <v>25</v>
      </c>
      <c r="E928" t="s">
        <v>14</v>
      </c>
      <c r="F928" t="s">
        <v>15</v>
      </c>
      <c r="G928">
        <v>79.849999999999994</v>
      </c>
      <c r="H928">
        <v>3</v>
      </c>
      <c r="I928">
        <v>62.88</v>
      </c>
      <c r="J928">
        <v>3</v>
      </c>
      <c r="K928">
        <v>-164.75</v>
      </c>
    </row>
    <row r="929" spans="1:11" x14ac:dyDescent="0.3">
      <c r="A929" s="1">
        <v>45096</v>
      </c>
      <c r="B929" t="s">
        <v>17</v>
      </c>
      <c r="C929" t="s">
        <v>12</v>
      </c>
      <c r="D929" t="s">
        <v>19</v>
      </c>
      <c r="E929" t="s">
        <v>20</v>
      </c>
      <c r="F929" t="s">
        <v>16</v>
      </c>
      <c r="G929">
        <v>174.76</v>
      </c>
      <c r="H929">
        <v>15</v>
      </c>
      <c r="I929">
        <v>245.73</v>
      </c>
      <c r="J929">
        <v>1</v>
      </c>
      <c r="K929">
        <v>41.58</v>
      </c>
    </row>
    <row r="930" spans="1:11" x14ac:dyDescent="0.3">
      <c r="A930" s="1">
        <v>45177</v>
      </c>
      <c r="B930" t="s">
        <v>23</v>
      </c>
      <c r="C930" t="s">
        <v>29</v>
      </c>
      <c r="D930" t="s">
        <v>19</v>
      </c>
      <c r="E930" t="s">
        <v>20</v>
      </c>
      <c r="F930" t="s">
        <v>16</v>
      </c>
      <c r="G930">
        <v>121.24</v>
      </c>
      <c r="H930">
        <v>17</v>
      </c>
      <c r="I930">
        <v>893.74</v>
      </c>
      <c r="J930">
        <v>1</v>
      </c>
      <c r="K930">
        <v>747.42</v>
      </c>
    </row>
    <row r="931" spans="1:11" x14ac:dyDescent="0.3">
      <c r="A931" s="1">
        <v>44927</v>
      </c>
      <c r="B931" t="s">
        <v>21</v>
      </c>
      <c r="C931" t="s">
        <v>12</v>
      </c>
      <c r="D931" t="s">
        <v>19</v>
      </c>
      <c r="E931" t="s">
        <v>20</v>
      </c>
      <c r="F931" t="s">
        <v>26</v>
      </c>
      <c r="G931">
        <v>142.97</v>
      </c>
      <c r="H931">
        <v>8</v>
      </c>
      <c r="I931">
        <v>312.52999999999997</v>
      </c>
      <c r="J931">
        <v>0</v>
      </c>
      <c r="K931">
        <v>169.56</v>
      </c>
    </row>
    <row r="932" spans="1:11" x14ac:dyDescent="0.3">
      <c r="A932" s="1">
        <v>44988</v>
      </c>
      <c r="B932" t="s">
        <v>11</v>
      </c>
      <c r="C932" t="s">
        <v>24</v>
      </c>
      <c r="D932" t="s">
        <v>19</v>
      </c>
      <c r="E932" t="s">
        <v>20</v>
      </c>
      <c r="F932" t="s">
        <v>22</v>
      </c>
      <c r="G932">
        <v>76.63</v>
      </c>
      <c r="H932">
        <v>9</v>
      </c>
      <c r="I932">
        <v>299.97000000000003</v>
      </c>
      <c r="J932">
        <v>0</v>
      </c>
      <c r="K932">
        <v>223.34</v>
      </c>
    </row>
    <row r="933" spans="1:11" x14ac:dyDescent="0.3">
      <c r="A933" s="1">
        <v>45151</v>
      </c>
      <c r="B933" t="s">
        <v>17</v>
      </c>
      <c r="C933" t="s">
        <v>24</v>
      </c>
      <c r="D933" t="s">
        <v>27</v>
      </c>
      <c r="E933" t="s">
        <v>20</v>
      </c>
      <c r="F933" t="s">
        <v>15</v>
      </c>
      <c r="G933">
        <v>17.47</v>
      </c>
      <c r="H933">
        <v>1</v>
      </c>
      <c r="I933">
        <v>72.150000000000006</v>
      </c>
      <c r="J933">
        <v>1</v>
      </c>
      <c r="K933">
        <v>39.89</v>
      </c>
    </row>
    <row r="934" spans="1:11" x14ac:dyDescent="0.3">
      <c r="A934" s="1">
        <v>45075</v>
      </c>
      <c r="B934" t="s">
        <v>11</v>
      </c>
      <c r="C934" t="s">
        <v>29</v>
      </c>
      <c r="D934" t="s">
        <v>25</v>
      </c>
      <c r="E934" t="s">
        <v>20</v>
      </c>
      <c r="F934" t="s">
        <v>16</v>
      </c>
      <c r="G934">
        <v>96.29</v>
      </c>
      <c r="H934">
        <v>3</v>
      </c>
      <c r="I934">
        <v>205.09</v>
      </c>
      <c r="J934">
        <v>1</v>
      </c>
      <c r="K934">
        <v>62.65</v>
      </c>
    </row>
    <row r="935" spans="1:11" x14ac:dyDescent="0.3">
      <c r="A935" s="1">
        <v>45149</v>
      </c>
      <c r="B935" t="s">
        <v>17</v>
      </c>
      <c r="C935" t="s">
        <v>18</v>
      </c>
      <c r="D935" t="s">
        <v>19</v>
      </c>
      <c r="E935" t="s">
        <v>20</v>
      </c>
      <c r="F935" t="s">
        <v>22</v>
      </c>
      <c r="G935">
        <v>138.83000000000001</v>
      </c>
      <c r="H935">
        <v>18</v>
      </c>
      <c r="I935">
        <v>687.42</v>
      </c>
      <c r="J935">
        <v>1</v>
      </c>
      <c r="K935">
        <v>522.59</v>
      </c>
    </row>
    <row r="936" spans="1:11" x14ac:dyDescent="0.3">
      <c r="A936" s="1">
        <v>45261</v>
      </c>
      <c r="B936" t="s">
        <v>21</v>
      </c>
      <c r="C936" t="s">
        <v>29</v>
      </c>
      <c r="D936" t="s">
        <v>25</v>
      </c>
      <c r="E936" t="s">
        <v>14</v>
      </c>
      <c r="F936" t="s">
        <v>26</v>
      </c>
      <c r="G936">
        <v>25.14</v>
      </c>
      <c r="H936">
        <v>9</v>
      </c>
      <c r="I936">
        <v>672.66</v>
      </c>
      <c r="J936">
        <v>1</v>
      </c>
      <c r="K936">
        <v>621.36</v>
      </c>
    </row>
    <row r="937" spans="1:11" x14ac:dyDescent="0.3">
      <c r="A937" s="1">
        <v>45275</v>
      </c>
      <c r="B937" t="s">
        <v>21</v>
      </c>
      <c r="C937" t="s">
        <v>24</v>
      </c>
      <c r="D937" t="s">
        <v>27</v>
      </c>
      <c r="E937" t="s">
        <v>14</v>
      </c>
      <c r="F937" t="s">
        <v>16</v>
      </c>
      <c r="G937">
        <v>178.07</v>
      </c>
      <c r="H937">
        <v>11</v>
      </c>
      <c r="I937">
        <v>131.4</v>
      </c>
      <c r="J937">
        <v>1</v>
      </c>
      <c r="K937">
        <v>-88.57</v>
      </c>
    </row>
    <row r="938" spans="1:11" x14ac:dyDescent="0.3">
      <c r="A938" s="1">
        <v>45202</v>
      </c>
      <c r="B938" t="s">
        <v>23</v>
      </c>
      <c r="C938" t="s">
        <v>24</v>
      </c>
      <c r="D938" t="s">
        <v>25</v>
      </c>
      <c r="E938" t="s">
        <v>20</v>
      </c>
      <c r="F938" t="s">
        <v>16</v>
      </c>
      <c r="G938">
        <v>16.36</v>
      </c>
      <c r="H938">
        <v>17</v>
      </c>
      <c r="I938">
        <v>933.3</v>
      </c>
      <c r="J938">
        <v>1</v>
      </c>
      <c r="K938">
        <v>885.5</v>
      </c>
    </row>
    <row r="939" spans="1:11" x14ac:dyDescent="0.3">
      <c r="A939" s="1">
        <v>45213</v>
      </c>
      <c r="B939" t="s">
        <v>23</v>
      </c>
      <c r="C939" t="s">
        <v>12</v>
      </c>
      <c r="D939" t="s">
        <v>27</v>
      </c>
      <c r="E939" t="s">
        <v>20</v>
      </c>
      <c r="F939" t="s">
        <v>15</v>
      </c>
      <c r="G939">
        <v>196.42</v>
      </c>
      <c r="H939">
        <v>5</v>
      </c>
      <c r="I939">
        <v>332.66</v>
      </c>
      <c r="J939">
        <v>3</v>
      </c>
      <c r="K939">
        <v>34.96</v>
      </c>
    </row>
    <row r="940" spans="1:11" x14ac:dyDescent="0.3">
      <c r="A940" s="1">
        <v>45105</v>
      </c>
      <c r="B940" t="s">
        <v>17</v>
      </c>
      <c r="C940" t="s">
        <v>29</v>
      </c>
      <c r="D940" t="s">
        <v>25</v>
      </c>
      <c r="E940" t="s">
        <v>14</v>
      </c>
      <c r="F940" t="s">
        <v>16</v>
      </c>
      <c r="G940">
        <v>111.3</v>
      </c>
      <c r="H940">
        <v>12</v>
      </c>
      <c r="I940">
        <v>959.84</v>
      </c>
      <c r="J940">
        <v>0</v>
      </c>
      <c r="K940">
        <v>848.54</v>
      </c>
    </row>
    <row r="941" spans="1:11" x14ac:dyDescent="0.3">
      <c r="A941" s="1">
        <v>45059</v>
      </c>
      <c r="B941" t="s">
        <v>11</v>
      </c>
      <c r="C941" t="s">
        <v>24</v>
      </c>
      <c r="D941" t="s">
        <v>25</v>
      </c>
      <c r="E941" t="s">
        <v>20</v>
      </c>
      <c r="F941" t="s">
        <v>22</v>
      </c>
      <c r="G941">
        <v>67.58</v>
      </c>
      <c r="H941">
        <v>8</v>
      </c>
      <c r="I941">
        <v>198.15</v>
      </c>
      <c r="J941">
        <v>2</v>
      </c>
      <c r="K941">
        <v>96.95</v>
      </c>
    </row>
    <row r="942" spans="1:11" x14ac:dyDescent="0.3">
      <c r="A942" s="1">
        <v>45124</v>
      </c>
      <c r="B942" t="s">
        <v>17</v>
      </c>
      <c r="C942" t="s">
        <v>29</v>
      </c>
      <c r="D942" t="s">
        <v>25</v>
      </c>
      <c r="E942" t="s">
        <v>20</v>
      </c>
      <c r="F942" t="s">
        <v>15</v>
      </c>
      <c r="G942">
        <v>35.840000000000003</v>
      </c>
      <c r="H942">
        <v>4</v>
      </c>
      <c r="I942">
        <v>103.26</v>
      </c>
      <c r="J942">
        <v>0</v>
      </c>
      <c r="K942">
        <v>67.42</v>
      </c>
    </row>
    <row r="943" spans="1:11" x14ac:dyDescent="0.3">
      <c r="A943" s="1">
        <v>45166</v>
      </c>
      <c r="B943" t="s">
        <v>17</v>
      </c>
      <c r="C943" t="s">
        <v>18</v>
      </c>
      <c r="D943" t="s">
        <v>27</v>
      </c>
      <c r="E943" t="s">
        <v>14</v>
      </c>
      <c r="F943" t="s">
        <v>16</v>
      </c>
      <c r="G943">
        <v>75.56</v>
      </c>
      <c r="H943">
        <v>14</v>
      </c>
      <c r="I943">
        <v>1387.41</v>
      </c>
      <c r="J943">
        <v>0</v>
      </c>
      <c r="K943">
        <v>1311.85</v>
      </c>
    </row>
    <row r="944" spans="1:11" x14ac:dyDescent="0.3">
      <c r="A944" s="1">
        <v>45066</v>
      </c>
      <c r="B944" t="s">
        <v>11</v>
      </c>
      <c r="C944" t="s">
        <v>18</v>
      </c>
      <c r="D944" t="s">
        <v>19</v>
      </c>
      <c r="E944" t="s">
        <v>20</v>
      </c>
      <c r="F944" t="s">
        <v>26</v>
      </c>
      <c r="G944">
        <v>172.61</v>
      </c>
      <c r="H944">
        <v>7</v>
      </c>
      <c r="I944">
        <v>583.65</v>
      </c>
      <c r="J944">
        <v>2</v>
      </c>
      <c r="K944">
        <v>396.54</v>
      </c>
    </row>
    <row r="945" spans="1:11" x14ac:dyDescent="0.3">
      <c r="A945" s="1">
        <v>45031</v>
      </c>
      <c r="B945" t="s">
        <v>11</v>
      </c>
      <c r="C945" t="s">
        <v>24</v>
      </c>
      <c r="D945" t="s">
        <v>13</v>
      </c>
      <c r="E945" t="s">
        <v>20</v>
      </c>
      <c r="F945" t="s">
        <v>16</v>
      </c>
      <c r="G945">
        <v>139.59</v>
      </c>
      <c r="H945">
        <v>10</v>
      </c>
      <c r="I945">
        <v>454.4</v>
      </c>
      <c r="J945">
        <v>3</v>
      </c>
      <c r="K945">
        <v>222.47</v>
      </c>
    </row>
    <row r="946" spans="1:11" x14ac:dyDescent="0.3">
      <c r="A946" s="1">
        <v>45197</v>
      </c>
      <c r="B946" t="s">
        <v>23</v>
      </c>
      <c r="C946" t="s">
        <v>29</v>
      </c>
      <c r="D946" t="s">
        <v>19</v>
      </c>
      <c r="E946" t="s">
        <v>14</v>
      </c>
      <c r="F946" t="s">
        <v>15</v>
      </c>
      <c r="G946">
        <v>177.79</v>
      </c>
      <c r="H946">
        <v>7</v>
      </c>
      <c r="I946">
        <v>364.44</v>
      </c>
      <c r="J946">
        <v>3</v>
      </c>
      <c r="K946">
        <v>160.99</v>
      </c>
    </row>
    <row r="947" spans="1:11" x14ac:dyDescent="0.3">
      <c r="A947" s="1">
        <v>45216</v>
      </c>
      <c r="B947" t="s">
        <v>23</v>
      </c>
      <c r="C947" t="s">
        <v>12</v>
      </c>
      <c r="D947" t="s">
        <v>25</v>
      </c>
      <c r="E947" t="s">
        <v>20</v>
      </c>
      <c r="F947" t="s">
        <v>15</v>
      </c>
      <c r="G947">
        <v>26.66</v>
      </c>
      <c r="H947">
        <v>3</v>
      </c>
      <c r="I947">
        <v>157.54</v>
      </c>
      <c r="J947">
        <v>0</v>
      </c>
      <c r="K947">
        <v>130.88</v>
      </c>
    </row>
    <row r="948" spans="1:11" x14ac:dyDescent="0.3">
      <c r="A948" s="1">
        <v>44930</v>
      </c>
      <c r="B948" t="s">
        <v>21</v>
      </c>
      <c r="C948" t="s">
        <v>29</v>
      </c>
      <c r="D948" t="s">
        <v>19</v>
      </c>
      <c r="E948" t="s">
        <v>20</v>
      </c>
      <c r="F948" t="s">
        <v>26</v>
      </c>
      <c r="G948">
        <v>130.07</v>
      </c>
      <c r="H948">
        <v>8</v>
      </c>
      <c r="I948">
        <v>742.2</v>
      </c>
      <c r="J948">
        <v>2</v>
      </c>
      <c r="K948">
        <v>520.41</v>
      </c>
    </row>
    <row r="949" spans="1:11" x14ac:dyDescent="0.3">
      <c r="A949" s="1">
        <v>45179</v>
      </c>
      <c r="B949" t="s">
        <v>23</v>
      </c>
      <c r="C949" t="s">
        <v>29</v>
      </c>
      <c r="D949" t="s">
        <v>19</v>
      </c>
      <c r="E949" t="s">
        <v>20</v>
      </c>
      <c r="F949" t="s">
        <v>16</v>
      </c>
      <c r="G949">
        <v>98.92</v>
      </c>
      <c r="H949">
        <v>19</v>
      </c>
      <c r="I949">
        <v>1433.3</v>
      </c>
      <c r="J949">
        <v>3</v>
      </c>
      <c r="K949">
        <v>1280.46</v>
      </c>
    </row>
    <row r="950" spans="1:11" x14ac:dyDescent="0.3">
      <c r="A950" s="1">
        <v>44987</v>
      </c>
      <c r="B950" t="s">
        <v>11</v>
      </c>
      <c r="C950" t="s">
        <v>12</v>
      </c>
      <c r="D950" t="s">
        <v>27</v>
      </c>
      <c r="E950" t="s">
        <v>20</v>
      </c>
      <c r="F950" t="s">
        <v>16</v>
      </c>
      <c r="G950">
        <v>72.16</v>
      </c>
      <c r="H950">
        <v>18</v>
      </c>
      <c r="I950">
        <v>1287.79</v>
      </c>
      <c r="J950">
        <v>0</v>
      </c>
      <c r="K950">
        <v>1215.6300000000001</v>
      </c>
    </row>
    <row r="951" spans="1:11" x14ac:dyDescent="0.3">
      <c r="A951" s="1">
        <v>45290</v>
      </c>
      <c r="B951" t="s">
        <v>21</v>
      </c>
      <c r="C951" t="s">
        <v>18</v>
      </c>
      <c r="D951" t="s">
        <v>25</v>
      </c>
      <c r="E951" t="s">
        <v>14</v>
      </c>
      <c r="F951" t="s">
        <v>16</v>
      </c>
      <c r="G951">
        <v>60.29</v>
      </c>
      <c r="H951">
        <v>18</v>
      </c>
      <c r="I951">
        <v>509.73</v>
      </c>
      <c r="J951">
        <v>0</v>
      </c>
      <c r="K951">
        <v>449.44</v>
      </c>
    </row>
    <row r="952" spans="1:11" x14ac:dyDescent="0.3">
      <c r="A952" s="1">
        <v>45213</v>
      </c>
      <c r="B952" t="s">
        <v>23</v>
      </c>
      <c r="C952" t="s">
        <v>12</v>
      </c>
      <c r="D952" t="s">
        <v>13</v>
      </c>
      <c r="E952" t="s">
        <v>14</v>
      </c>
      <c r="F952" t="s">
        <v>26</v>
      </c>
      <c r="G952">
        <v>16.940000000000001</v>
      </c>
      <c r="H952">
        <v>7</v>
      </c>
      <c r="I952">
        <v>130.81</v>
      </c>
      <c r="J952">
        <v>2</v>
      </c>
      <c r="K952">
        <v>62.45</v>
      </c>
    </row>
    <row r="953" spans="1:11" x14ac:dyDescent="0.3">
      <c r="A953" s="1">
        <v>45137</v>
      </c>
      <c r="B953" t="s">
        <v>17</v>
      </c>
      <c r="C953" t="s">
        <v>24</v>
      </c>
      <c r="D953" t="s">
        <v>27</v>
      </c>
      <c r="E953" t="s">
        <v>14</v>
      </c>
      <c r="F953" t="s">
        <v>22</v>
      </c>
      <c r="G953">
        <v>138.71</v>
      </c>
      <c r="H953">
        <v>6</v>
      </c>
      <c r="I953">
        <v>239.13</v>
      </c>
      <c r="J953">
        <v>2</v>
      </c>
      <c r="K953">
        <v>47.57</v>
      </c>
    </row>
    <row r="954" spans="1:11" x14ac:dyDescent="0.3">
      <c r="A954" s="1">
        <v>45105</v>
      </c>
      <c r="B954" t="s">
        <v>17</v>
      </c>
      <c r="C954" t="s">
        <v>12</v>
      </c>
      <c r="D954" t="s">
        <v>25</v>
      </c>
      <c r="E954" t="s">
        <v>20</v>
      </c>
      <c r="F954" t="s">
        <v>22</v>
      </c>
      <c r="G954">
        <v>84.04</v>
      </c>
      <c r="H954">
        <v>14</v>
      </c>
      <c r="I954">
        <v>621.49</v>
      </c>
      <c r="J954">
        <v>1</v>
      </c>
      <c r="K954">
        <v>527.64</v>
      </c>
    </row>
    <row r="955" spans="1:11" x14ac:dyDescent="0.3">
      <c r="A955" s="1">
        <v>45149</v>
      </c>
      <c r="B955" t="s">
        <v>17</v>
      </c>
      <c r="C955" t="s">
        <v>24</v>
      </c>
      <c r="D955" t="s">
        <v>25</v>
      </c>
      <c r="E955" t="s">
        <v>14</v>
      </c>
      <c r="F955" t="s">
        <v>22</v>
      </c>
      <c r="G955">
        <v>167.69</v>
      </c>
      <c r="H955">
        <v>20</v>
      </c>
      <c r="I955">
        <v>1822.69</v>
      </c>
      <c r="J955">
        <v>1</v>
      </c>
      <c r="K955">
        <v>1605.5</v>
      </c>
    </row>
    <row r="956" spans="1:11" x14ac:dyDescent="0.3">
      <c r="A956" s="1">
        <v>45216</v>
      </c>
      <c r="B956" t="s">
        <v>23</v>
      </c>
      <c r="C956" t="s">
        <v>29</v>
      </c>
      <c r="D956" t="s">
        <v>28</v>
      </c>
      <c r="E956" t="s">
        <v>14</v>
      </c>
      <c r="F956" t="s">
        <v>15</v>
      </c>
      <c r="G956">
        <v>172.18</v>
      </c>
      <c r="H956">
        <v>12</v>
      </c>
      <c r="I956">
        <v>1097.76</v>
      </c>
      <c r="J956">
        <v>2</v>
      </c>
      <c r="K956">
        <v>855.04</v>
      </c>
    </row>
    <row r="957" spans="1:11" x14ac:dyDescent="0.3">
      <c r="A957" s="1">
        <v>45143</v>
      </c>
      <c r="B957" t="s">
        <v>17</v>
      </c>
      <c r="C957" t="s">
        <v>24</v>
      </c>
      <c r="D957" t="s">
        <v>19</v>
      </c>
      <c r="E957" t="s">
        <v>20</v>
      </c>
      <c r="F957" t="s">
        <v>26</v>
      </c>
      <c r="G957">
        <v>66.260000000000005</v>
      </c>
      <c r="H957">
        <v>19</v>
      </c>
      <c r="I957">
        <v>1878.36</v>
      </c>
      <c r="J957">
        <v>2</v>
      </c>
      <c r="K957">
        <v>1787.9</v>
      </c>
    </row>
    <row r="958" spans="1:11" x14ac:dyDescent="0.3">
      <c r="A958" s="1">
        <v>45241</v>
      </c>
      <c r="B958" t="s">
        <v>23</v>
      </c>
      <c r="C958" t="s">
        <v>29</v>
      </c>
      <c r="D958" t="s">
        <v>19</v>
      </c>
      <c r="E958" t="s">
        <v>14</v>
      </c>
      <c r="F958" t="s">
        <v>26</v>
      </c>
      <c r="G958">
        <v>149.69999999999999</v>
      </c>
      <c r="H958">
        <v>7</v>
      </c>
      <c r="I958">
        <v>375.08</v>
      </c>
      <c r="J958">
        <v>3</v>
      </c>
      <c r="K958">
        <v>154</v>
      </c>
    </row>
    <row r="959" spans="1:11" x14ac:dyDescent="0.3">
      <c r="A959" s="1">
        <v>45285</v>
      </c>
      <c r="B959" t="s">
        <v>21</v>
      </c>
      <c r="C959" t="s">
        <v>29</v>
      </c>
      <c r="D959" t="s">
        <v>19</v>
      </c>
      <c r="E959" t="s">
        <v>20</v>
      </c>
      <c r="F959" t="s">
        <v>26</v>
      </c>
      <c r="G959">
        <v>198.3</v>
      </c>
      <c r="H959">
        <v>19</v>
      </c>
      <c r="I959">
        <v>366.98</v>
      </c>
      <c r="J959">
        <v>0</v>
      </c>
      <c r="K959">
        <v>168.68</v>
      </c>
    </row>
    <row r="960" spans="1:11" x14ac:dyDescent="0.3">
      <c r="A960" s="1">
        <v>45215</v>
      </c>
      <c r="B960" t="s">
        <v>23</v>
      </c>
      <c r="C960" t="s">
        <v>29</v>
      </c>
      <c r="D960" t="s">
        <v>19</v>
      </c>
      <c r="E960" t="s">
        <v>20</v>
      </c>
      <c r="F960" t="s">
        <v>16</v>
      </c>
      <c r="G960">
        <v>72.48</v>
      </c>
      <c r="H960">
        <v>12</v>
      </c>
      <c r="I960">
        <v>616.52</v>
      </c>
      <c r="J960">
        <v>1</v>
      </c>
      <c r="K960">
        <v>531.66999999999996</v>
      </c>
    </row>
    <row r="961" spans="1:11" x14ac:dyDescent="0.3">
      <c r="A961" s="1">
        <v>45154</v>
      </c>
      <c r="B961" t="s">
        <v>17</v>
      </c>
      <c r="C961" t="s">
        <v>29</v>
      </c>
      <c r="D961" t="s">
        <v>13</v>
      </c>
      <c r="E961" t="s">
        <v>14</v>
      </c>
      <c r="F961" t="s">
        <v>15</v>
      </c>
      <c r="G961">
        <v>112.49</v>
      </c>
      <c r="H961">
        <v>4</v>
      </c>
      <c r="I961">
        <v>265.51</v>
      </c>
      <c r="J961">
        <v>3</v>
      </c>
      <c r="K961">
        <v>136.16999999999999</v>
      </c>
    </row>
    <row r="962" spans="1:11" x14ac:dyDescent="0.3">
      <c r="A962" s="1">
        <v>44932</v>
      </c>
      <c r="B962" t="s">
        <v>21</v>
      </c>
      <c r="C962" t="s">
        <v>24</v>
      </c>
      <c r="D962" t="s">
        <v>19</v>
      </c>
      <c r="E962" t="s">
        <v>14</v>
      </c>
      <c r="F962" t="s">
        <v>26</v>
      </c>
      <c r="G962">
        <v>95.83</v>
      </c>
      <c r="H962">
        <v>20</v>
      </c>
      <c r="I962">
        <v>367.08</v>
      </c>
      <c r="J962">
        <v>2</v>
      </c>
      <c r="K962">
        <v>178.39</v>
      </c>
    </row>
    <row r="963" spans="1:11" x14ac:dyDescent="0.3">
      <c r="A963" s="1">
        <v>45023</v>
      </c>
      <c r="B963" t="s">
        <v>11</v>
      </c>
      <c r="C963" t="s">
        <v>24</v>
      </c>
      <c r="D963" t="s">
        <v>13</v>
      </c>
      <c r="E963" t="s">
        <v>14</v>
      </c>
      <c r="F963" t="s">
        <v>16</v>
      </c>
      <c r="G963">
        <v>70.56</v>
      </c>
      <c r="H963">
        <v>9</v>
      </c>
      <c r="I963">
        <v>299.11</v>
      </c>
      <c r="J963">
        <v>0</v>
      </c>
      <c r="K963">
        <v>228.55</v>
      </c>
    </row>
    <row r="964" spans="1:11" x14ac:dyDescent="0.3">
      <c r="A964" s="1">
        <v>45184</v>
      </c>
      <c r="B964" t="s">
        <v>23</v>
      </c>
      <c r="C964" t="s">
        <v>29</v>
      </c>
      <c r="D964" t="s">
        <v>13</v>
      </c>
      <c r="E964" t="s">
        <v>14</v>
      </c>
      <c r="F964" t="s">
        <v>15</v>
      </c>
      <c r="G964">
        <v>6.88</v>
      </c>
      <c r="H964">
        <v>18</v>
      </c>
      <c r="I964">
        <v>1263.8</v>
      </c>
      <c r="J964">
        <v>0</v>
      </c>
      <c r="K964">
        <v>1256.92</v>
      </c>
    </row>
    <row r="965" spans="1:11" x14ac:dyDescent="0.3">
      <c r="A965" s="1">
        <v>45120</v>
      </c>
      <c r="B965" t="s">
        <v>17</v>
      </c>
      <c r="C965" t="s">
        <v>18</v>
      </c>
      <c r="D965" t="s">
        <v>25</v>
      </c>
      <c r="E965" t="s">
        <v>20</v>
      </c>
      <c r="F965" t="s">
        <v>15</v>
      </c>
      <c r="G965">
        <v>177.32</v>
      </c>
      <c r="H965">
        <v>12</v>
      </c>
      <c r="I965">
        <v>369.69</v>
      </c>
      <c r="J965">
        <v>2</v>
      </c>
      <c r="K965">
        <v>94.21</v>
      </c>
    </row>
    <row r="966" spans="1:11" x14ac:dyDescent="0.3">
      <c r="A966" s="1">
        <v>45004</v>
      </c>
      <c r="B966" t="s">
        <v>11</v>
      </c>
      <c r="C966" t="s">
        <v>29</v>
      </c>
      <c r="D966" t="s">
        <v>28</v>
      </c>
      <c r="E966" t="s">
        <v>20</v>
      </c>
      <c r="F966" t="s">
        <v>26</v>
      </c>
      <c r="G966">
        <v>82.17</v>
      </c>
      <c r="H966">
        <v>15</v>
      </c>
      <c r="I966">
        <v>1231.58</v>
      </c>
      <c r="J966">
        <v>3</v>
      </c>
      <c r="K966">
        <v>1099</v>
      </c>
    </row>
    <row r="967" spans="1:11" x14ac:dyDescent="0.3">
      <c r="A967" s="1">
        <v>45111</v>
      </c>
      <c r="B967" t="s">
        <v>17</v>
      </c>
      <c r="C967" t="s">
        <v>24</v>
      </c>
      <c r="D967" t="s">
        <v>27</v>
      </c>
      <c r="E967" t="s">
        <v>14</v>
      </c>
      <c r="F967" t="s">
        <v>15</v>
      </c>
      <c r="G967">
        <v>116.67</v>
      </c>
      <c r="H967">
        <v>9</v>
      </c>
      <c r="I967">
        <v>797.49</v>
      </c>
      <c r="J967">
        <v>2</v>
      </c>
      <c r="K967">
        <v>620.70000000000005</v>
      </c>
    </row>
    <row r="968" spans="1:11" x14ac:dyDescent="0.3">
      <c r="A968" s="1">
        <v>45136</v>
      </c>
      <c r="B968" t="s">
        <v>17</v>
      </c>
      <c r="C968" t="s">
        <v>29</v>
      </c>
      <c r="D968" t="s">
        <v>25</v>
      </c>
      <c r="E968" t="s">
        <v>14</v>
      </c>
      <c r="F968" t="s">
        <v>16</v>
      </c>
      <c r="G968">
        <v>66.03</v>
      </c>
      <c r="H968">
        <v>2</v>
      </c>
      <c r="I968">
        <v>181.96</v>
      </c>
      <c r="J968">
        <v>0</v>
      </c>
      <c r="K968">
        <v>115.93</v>
      </c>
    </row>
    <row r="969" spans="1:11" x14ac:dyDescent="0.3">
      <c r="A969" s="1">
        <v>44997</v>
      </c>
      <c r="B969" t="s">
        <v>11</v>
      </c>
      <c r="C969" t="s">
        <v>29</v>
      </c>
      <c r="D969" t="s">
        <v>28</v>
      </c>
      <c r="E969" t="s">
        <v>14</v>
      </c>
      <c r="F969" t="s">
        <v>16</v>
      </c>
      <c r="G969">
        <v>131.54</v>
      </c>
      <c r="H969">
        <v>11</v>
      </c>
      <c r="I969">
        <v>679.83</v>
      </c>
      <c r="J969">
        <v>2</v>
      </c>
      <c r="K969">
        <v>503.25</v>
      </c>
    </row>
    <row r="970" spans="1:11" x14ac:dyDescent="0.3">
      <c r="A970" s="1">
        <v>45217</v>
      </c>
      <c r="B970" t="s">
        <v>23</v>
      </c>
      <c r="C970" t="s">
        <v>29</v>
      </c>
      <c r="D970" t="s">
        <v>25</v>
      </c>
      <c r="E970" t="s">
        <v>20</v>
      </c>
      <c r="F970" t="s">
        <v>15</v>
      </c>
      <c r="G970">
        <v>27.04</v>
      </c>
      <c r="H970">
        <v>6</v>
      </c>
      <c r="I970">
        <v>317.56</v>
      </c>
      <c r="J970">
        <v>0</v>
      </c>
      <c r="K970">
        <v>290.52</v>
      </c>
    </row>
    <row r="971" spans="1:11" x14ac:dyDescent="0.3">
      <c r="A971" s="1">
        <v>45109</v>
      </c>
      <c r="B971" t="s">
        <v>17</v>
      </c>
      <c r="C971" t="s">
        <v>29</v>
      </c>
      <c r="D971" t="s">
        <v>25</v>
      </c>
      <c r="E971" t="s">
        <v>14</v>
      </c>
      <c r="F971" t="s">
        <v>26</v>
      </c>
      <c r="G971">
        <v>71.16</v>
      </c>
      <c r="H971">
        <v>16</v>
      </c>
      <c r="I971">
        <v>404.92</v>
      </c>
      <c r="J971">
        <v>3</v>
      </c>
      <c r="K971">
        <v>290.99</v>
      </c>
    </row>
    <row r="972" spans="1:11" x14ac:dyDescent="0.3">
      <c r="A972" s="1">
        <v>44947</v>
      </c>
      <c r="B972" t="s">
        <v>21</v>
      </c>
      <c r="C972" t="s">
        <v>18</v>
      </c>
      <c r="D972" t="s">
        <v>13</v>
      </c>
      <c r="E972" t="s">
        <v>20</v>
      </c>
      <c r="F972" t="s">
        <v>22</v>
      </c>
      <c r="G972">
        <v>98.16</v>
      </c>
      <c r="H972">
        <v>18</v>
      </c>
      <c r="I972">
        <v>1623.82</v>
      </c>
      <c r="J972">
        <v>3</v>
      </c>
      <c r="K972">
        <v>1393.78</v>
      </c>
    </row>
    <row r="973" spans="1:11" x14ac:dyDescent="0.3">
      <c r="A973" s="1">
        <v>45171</v>
      </c>
      <c r="B973" t="s">
        <v>23</v>
      </c>
      <c r="C973" t="s">
        <v>24</v>
      </c>
      <c r="D973" t="s">
        <v>27</v>
      </c>
      <c r="E973" t="s">
        <v>20</v>
      </c>
      <c r="F973" t="s">
        <v>15</v>
      </c>
      <c r="G973">
        <v>98.02</v>
      </c>
      <c r="H973">
        <v>12</v>
      </c>
      <c r="I973">
        <v>129.43</v>
      </c>
      <c r="J973">
        <v>3</v>
      </c>
      <c r="K973">
        <v>-20.25</v>
      </c>
    </row>
    <row r="974" spans="1:11" x14ac:dyDescent="0.3">
      <c r="A974" s="1">
        <v>45230</v>
      </c>
      <c r="B974" t="s">
        <v>23</v>
      </c>
      <c r="C974" t="s">
        <v>18</v>
      </c>
      <c r="D974" t="s">
        <v>28</v>
      </c>
      <c r="E974" t="s">
        <v>14</v>
      </c>
      <c r="F974" t="s">
        <v>22</v>
      </c>
      <c r="G974">
        <v>158.15</v>
      </c>
      <c r="H974">
        <v>1</v>
      </c>
      <c r="I974">
        <v>44.14</v>
      </c>
      <c r="J974">
        <v>0</v>
      </c>
      <c r="K974">
        <v>-114.01</v>
      </c>
    </row>
    <row r="975" spans="1:11" x14ac:dyDescent="0.3">
      <c r="A975" s="1">
        <v>45116</v>
      </c>
      <c r="B975" t="s">
        <v>17</v>
      </c>
      <c r="C975" t="s">
        <v>18</v>
      </c>
      <c r="D975" t="s">
        <v>28</v>
      </c>
      <c r="E975" t="s">
        <v>20</v>
      </c>
      <c r="F975" t="s">
        <v>26</v>
      </c>
      <c r="G975">
        <v>76.430000000000007</v>
      </c>
      <c r="H975">
        <v>13</v>
      </c>
      <c r="I975">
        <v>736.21</v>
      </c>
      <c r="J975">
        <v>1</v>
      </c>
      <c r="K975">
        <v>622.41999999999996</v>
      </c>
    </row>
    <row r="976" spans="1:11" x14ac:dyDescent="0.3">
      <c r="A976" s="1">
        <v>45265</v>
      </c>
      <c r="B976" t="s">
        <v>21</v>
      </c>
      <c r="C976" t="s">
        <v>29</v>
      </c>
      <c r="D976" t="s">
        <v>27</v>
      </c>
      <c r="E976" t="s">
        <v>20</v>
      </c>
      <c r="F976" t="s">
        <v>22</v>
      </c>
      <c r="G976">
        <v>76.540000000000006</v>
      </c>
      <c r="H976">
        <v>15</v>
      </c>
      <c r="I976">
        <v>1075.97</v>
      </c>
      <c r="J976">
        <v>2</v>
      </c>
      <c r="K976">
        <v>909.86</v>
      </c>
    </row>
    <row r="977" spans="1:11" x14ac:dyDescent="0.3">
      <c r="A977" s="1">
        <v>45201</v>
      </c>
      <c r="B977" t="s">
        <v>23</v>
      </c>
      <c r="C977" t="s">
        <v>24</v>
      </c>
      <c r="D977" t="s">
        <v>27</v>
      </c>
      <c r="E977" t="s">
        <v>20</v>
      </c>
      <c r="F977" t="s">
        <v>15</v>
      </c>
      <c r="G977">
        <v>161.54</v>
      </c>
      <c r="H977">
        <v>7</v>
      </c>
      <c r="I977">
        <v>543.87</v>
      </c>
      <c r="J977">
        <v>3</v>
      </c>
      <c r="K977">
        <v>251.18</v>
      </c>
    </row>
    <row r="978" spans="1:11" x14ac:dyDescent="0.3">
      <c r="A978" s="1">
        <v>44932</v>
      </c>
      <c r="B978" t="s">
        <v>21</v>
      </c>
      <c r="C978" t="s">
        <v>24</v>
      </c>
      <c r="D978" t="s">
        <v>19</v>
      </c>
      <c r="E978" t="s">
        <v>14</v>
      </c>
      <c r="F978" t="s">
        <v>26</v>
      </c>
      <c r="G978">
        <v>160.09</v>
      </c>
      <c r="H978">
        <v>17</v>
      </c>
      <c r="I978">
        <v>1147</v>
      </c>
      <c r="J978">
        <v>2</v>
      </c>
      <c r="K978">
        <v>970.77</v>
      </c>
    </row>
    <row r="979" spans="1:11" x14ac:dyDescent="0.3">
      <c r="A979" s="1">
        <v>44943</v>
      </c>
      <c r="B979" t="s">
        <v>21</v>
      </c>
      <c r="C979" t="s">
        <v>24</v>
      </c>
      <c r="D979" t="s">
        <v>25</v>
      </c>
      <c r="E979" t="s">
        <v>20</v>
      </c>
      <c r="F979" t="s">
        <v>16</v>
      </c>
      <c r="G979">
        <v>179.9</v>
      </c>
      <c r="H979">
        <v>7</v>
      </c>
      <c r="I979">
        <v>151.66999999999999</v>
      </c>
      <c r="J979">
        <v>1</v>
      </c>
      <c r="K979">
        <v>-57.62</v>
      </c>
    </row>
    <row r="980" spans="1:11" x14ac:dyDescent="0.3">
      <c r="A980" s="1">
        <v>45176</v>
      </c>
      <c r="B980" t="s">
        <v>23</v>
      </c>
      <c r="C980" t="s">
        <v>29</v>
      </c>
      <c r="D980" t="s">
        <v>27</v>
      </c>
      <c r="E980" t="s">
        <v>20</v>
      </c>
      <c r="F980" t="s">
        <v>15</v>
      </c>
      <c r="G980">
        <v>118.35</v>
      </c>
      <c r="H980">
        <v>18</v>
      </c>
      <c r="I980">
        <v>287.01</v>
      </c>
      <c r="J980">
        <v>2</v>
      </c>
      <c r="K980">
        <v>130.01</v>
      </c>
    </row>
    <row r="981" spans="1:11" x14ac:dyDescent="0.3">
      <c r="A981" s="1">
        <v>44973</v>
      </c>
      <c r="B981" t="s">
        <v>21</v>
      </c>
      <c r="C981" t="s">
        <v>18</v>
      </c>
      <c r="D981" t="s">
        <v>28</v>
      </c>
      <c r="E981" t="s">
        <v>14</v>
      </c>
      <c r="F981" t="s">
        <v>15</v>
      </c>
      <c r="G981">
        <v>72.31</v>
      </c>
      <c r="H981">
        <v>17</v>
      </c>
      <c r="I981">
        <v>1072.02</v>
      </c>
      <c r="J981">
        <v>0</v>
      </c>
      <c r="K981">
        <v>999.71</v>
      </c>
    </row>
    <row r="982" spans="1:11" x14ac:dyDescent="0.3">
      <c r="A982" s="1">
        <v>45058</v>
      </c>
      <c r="B982" t="s">
        <v>11</v>
      </c>
      <c r="C982" t="s">
        <v>18</v>
      </c>
      <c r="D982" t="s">
        <v>19</v>
      </c>
      <c r="E982" t="s">
        <v>20</v>
      </c>
      <c r="F982" t="s">
        <v>22</v>
      </c>
      <c r="G982">
        <v>127.84</v>
      </c>
      <c r="H982">
        <v>8</v>
      </c>
      <c r="I982">
        <v>679.75</v>
      </c>
      <c r="J982">
        <v>2</v>
      </c>
      <c r="K982">
        <v>477.3</v>
      </c>
    </row>
    <row r="983" spans="1:11" x14ac:dyDescent="0.3">
      <c r="A983" s="1">
        <v>44959</v>
      </c>
      <c r="B983" t="s">
        <v>21</v>
      </c>
      <c r="C983" t="s">
        <v>29</v>
      </c>
      <c r="D983" t="s">
        <v>19</v>
      </c>
      <c r="E983" t="s">
        <v>20</v>
      </c>
      <c r="F983" t="s">
        <v>22</v>
      </c>
      <c r="G983">
        <v>122.02</v>
      </c>
      <c r="H983">
        <v>5</v>
      </c>
      <c r="I983">
        <v>204.56</v>
      </c>
      <c r="J983">
        <v>1</v>
      </c>
      <c r="K983">
        <v>69.72</v>
      </c>
    </row>
    <row r="984" spans="1:11" x14ac:dyDescent="0.3">
      <c r="A984" s="1">
        <v>44933</v>
      </c>
      <c r="B984" t="s">
        <v>21</v>
      </c>
      <c r="C984" t="s">
        <v>24</v>
      </c>
      <c r="D984" t="s">
        <v>13</v>
      </c>
      <c r="E984" t="s">
        <v>14</v>
      </c>
      <c r="F984" t="s">
        <v>16</v>
      </c>
      <c r="G984">
        <v>187.36</v>
      </c>
      <c r="H984">
        <v>3</v>
      </c>
      <c r="I984">
        <v>183.54</v>
      </c>
      <c r="J984">
        <v>3</v>
      </c>
      <c r="K984">
        <v>-20.38</v>
      </c>
    </row>
    <row r="985" spans="1:11" x14ac:dyDescent="0.3">
      <c r="A985" s="1">
        <v>45213</v>
      </c>
      <c r="B985" t="s">
        <v>23</v>
      </c>
      <c r="C985" t="s">
        <v>29</v>
      </c>
      <c r="D985" t="s">
        <v>19</v>
      </c>
      <c r="E985" t="s">
        <v>14</v>
      </c>
      <c r="F985" t="s">
        <v>26</v>
      </c>
      <c r="G985">
        <v>69.38</v>
      </c>
      <c r="H985">
        <v>13</v>
      </c>
      <c r="I985">
        <v>265.55</v>
      </c>
      <c r="J985">
        <v>3</v>
      </c>
      <c r="K985">
        <v>100.41</v>
      </c>
    </row>
    <row r="986" spans="1:11" x14ac:dyDescent="0.3">
      <c r="A986" s="1">
        <v>45217</v>
      </c>
      <c r="B986" t="s">
        <v>23</v>
      </c>
      <c r="C986" t="s">
        <v>24</v>
      </c>
      <c r="D986" t="s">
        <v>19</v>
      </c>
      <c r="E986" t="s">
        <v>20</v>
      </c>
      <c r="F986" t="s">
        <v>26</v>
      </c>
      <c r="G986">
        <v>150.47</v>
      </c>
      <c r="H986">
        <v>10</v>
      </c>
      <c r="I986">
        <v>898.81</v>
      </c>
      <c r="J986">
        <v>1</v>
      </c>
      <c r="K986">
        <v>722.44</v>
      </c>
    </row>
    <row r="987" spans="1:11" x14ac:dyDescent="0.3">
      <c r="A987" s="1">
        <v>45135</v>
      </c>
      <c r="B987" t="s">
        <v>17</v>
      </c>
      <c r="C987" t="s">
        <v>12</v>
      </c>
      <c r="D987" t="s">
        <v>28</v>
      </c>
      <c r="E987" t="s">
        <v>20</v>
      </c>
      <c r="F987" t="s">
        <v>22</v>
      </c>
      <c r="G987">
        <v>151.72999999999999</v>
      </c>
      <c r="H987">
        <v>10</v>
      </c>
      <c r="I987">
        <v>275.81</v>
      </c>
      <c r="J987">
        <v>0</v>
      </c>
      <c r="K987">
        <v>124.08</v>
      </c>
    </row>
    <row r="988" spans="1:11" x14ac:dyDescent="0.3">
      <c r="A988" s="1">
        <v>44962</v>
      </c>
      <c r="B988" t="s">
        <v>21</v>
      </c>
      <c r="C988" t="s">
        <v>12</v>
      </c>
      <c r="D988" t="s">
        <v>27</v>
      </c>
      <c r="E988" t="s">
        <v>20</v>
      </c>
      <c r="F988" t="s">
        <v>16</v>
      </c>
      <c r="G988">
        <v>60.07</v>
      </c>
      <c r="H988">
        <v>11</v>
      </c>
      <c r="I988">
        <v>992.76</v>
      </c>
      <c r="J988">
        <v>3</v>
      </c>
      <c r="K988">
        <v>913.96</v>
      </c>
    </row>
    <row r="989" spans="1:11" x14ac:dyDescent="0.3">
      <c r="A989" s="1">
        <v>44957</v>
      </c>
      <c r="B989" t="s">
        <v>21</v>
      </c>
      <c r="C989" t="s">
        <v>24</v>
      </c>
      <c r="D989" t="s">
        <v>28</v>
      </c>
      <c r="E989" t="s">
        <v>20</v>
      </c>
      <c r="F989" t="s">
        <v>26</v>
      </c>
      <c r="G989">
        <v>28.93</v>
      </c>
      <c r="H989">
        <v>1</v>
      </c>
      <c r="I989">
        <v>63.9</v>
      </c>
      <c r="J989">
        <v>0</v>
      </c>
      <c r="K989">
        <v>34.97</v>
      </c>
    </row>
    <row r="990" spans="1:11" x14ac:dyDescent="0.3">
      <c r="A990" s="1">
        <v>44939</v>
      </c>
      <c r="B990" t="s">
        <v>21</v>
      </c>
      <c r="C990" t="s">
        <v>18</v>
      </c>
      <c r="D990" t="s">
        <v>19</v>
      </c>
      <c r="E990" t="s">
        <v>14</v>
      </c>
      <c r="F990" t="s">
        <v>22</v>
      </c>
      <c r="G990">
        <v>167.63</v>
      </c>
      <c r="H990">
        <v>1</v>
      </c>
      <c r="I990">
        <v>27.23</v>
      </c>
      <c r="J990">
        <v>1</v>
      </c>
      <c r="K990">
        <v>-175.22</v>
      </c>
    </row>
    <row r="991" spans="1:11" x14ac:dyDescent="0.3">
      <c r="A991" s="1">
        <v>45039</v>
      </c>
      <c r="B991" t="s">
        <v>11</v>
      </c>
      <c r="C991" t="s">
        <v>29</v>
      </c>
      <c r="D991" t="s">
        <v>25</v>
      </c>
      <c r="E991" t="s">
        <v>14</v>
      </c>
      <c r="F991" t="s">
        <v>15</v>
      </c>
      <c r="G991">
        <v>86.67</v>
      </c>
      <c r="H991">
        <v>19</v>
      </c>
      <c r="I991">
        <v>596.51</v>
      </c>
      <c r="J991">
        <v>1</v>
      </c>
      <c r="K991">
        <v>461.84</v>
      </c>
    </row>
    <row r="992" spans="1:11" x14ac:dyDescent="0.3">
      <c r="A992" s="1">
        <v>45174</v>
      </c>
      <c r="B992" t="s">
        <v>23</v>
      </c>
      <c r="C992" t="s">
        <v>18</v>
      </c>
      <c r="D992" t="s">
        <v>19</v>
      </c>
      <c r="E992" t="s">
        <v>20</v>
      </c>
      <c r="F992" t="s">
        <v>26</v>
      </c>
      <c r="G992">
        <v>99.8</v>
      </c>
      <c r="H992">
        <v>1</v>
      </c>
      <c r="I992">
        <v>81.430000000000007</v>
      </c>
      <c r="J992">
        <v>1</v>
      </c>
      <c r="K992">
        <v>-26.24</v>
      </c>
    </row>
    <row r="993" spans="1:11" x14ac:dyDescent="0.3">
      <c r="A993" s="1">
        <v>45220</v>
      </c>
      <c r="B993" t="s">
        <v>23</v>
      </c>
      <c r="C993" t="s">
        <v>29</v>
      </c>
      <c r="D993" t="s">
        <v>28</v>
      </c>
      <c r="E993" t="s">
        <v>20</v>
      </c>
      <c r="F993" t="s">
        <v>15</v>
      </c>
      <c r="G993">
        <v>148.96</v>
      </c>
      <c r="H993">
        <v>2</v>
      </c>
      <c r="I993">
        <v>169.31</v>
      </c>
      <c r="J993">
        <v>1</v>
      </c>
      <c r="K993">
        <v>-24.64</v>
      </c>
    </row>
    <row r="994" spans="1:11" x14ac:dyDescent="0.3">
      <c r="A994" s="1">
        <v>45144</v>
      </c>
      <c r="B994" t="s">
        <v>17</v>
      </c>
      <c r="C994" t="s">
        <v>29</v>
      </c>
      <c r="D994" t="s">
        <v>28</v>
      </c>
      <c r="E994" t="s">
        <v>20</v>
      </c>
      <c r="F994" t="s">
        <v>22</v>
      </c>
      <c r="G994">
        <v>98.92</v>
      </c>
      <c r="H994">
        <v>16</v>
      </c>
      <c r="I994">
        <v>1367.56</v>
      </c>
      <c r="J994">
        <v>1</v>
      </c>
      <c r="K994">
        <v>1229.29</v>
      </c>
    </row>
    <row r="995" spans="1:11" x14ac:dyDescent="0.3">
      <c r="A995" s="1">
        <v>45105</v>
      </c>
      <c r="B995" t="s">
        <v>17</v>
      </c>
      <c r="C995" t="s">
        <v>29</v>
      </c>
      <c r="D995" t="s">
        <v>25</v>
      </c>
      <c r="E995" t="s">
        <v>20</v>
      </c>
      <c r="F995" t="s">
        <v>16</v>
      </c>
      <c r="G995">
        <v>109.78</v>
      </c>
      <c r="H995">
        <v>5</v>
      </c>
      <c r="I995">
        <v>213.19</v>
      </c>
      <c r="J995">
        <v>3</v>
      </c>
      <c r="K995">
        <v>-34.909999999999997</v>
      </c>
    </row>
    <row r="996" spans="1:11" x14ac:dyDescent="0.3">
      <c r="A996" s="1">
        <v>45010</v>
      </c>
      <c r="B996" t="s">
        <v>11</v>
      </c>
      <c r="C996" t="s">
        <v>29</v>
      </c>
      <c r="D996" t="s">
        <v>25</v>
      </c>
      <c r="E996" t="s">
        <v>14</v>
      </c>
      <c r="F996" t="s">
        <v>15</v>
      </c>
      <c r="G996">
        <v>56.24</v>
      </c>
      <c r="H996">
        <v>12</v>
      </c>
      <c r="I996">
        <v>904.34</v>
      </c>
      <c r="J996">
        <v>3</v>
      </c>
      <c r="K996">
        <v>714.29</v>
      </c>
    </row>
    <row r="997" spans="1:11" x14ac:dyDescent="0.3">
      <c r="A997" s="1">
        <v>45038</v>
      </c>
      <c r="B997" t="s">
        <v>11</v>
      </c>
      <c r="C997" t="s">
        <v>18</v>
      </c>
      <c r="D997" t="s">
        <v>27</v>
      </c>
      <c r="E997" t="s">
        <v>14</v>
      </c>
      <c r="F997" t="s">
        <v>15</v>
      </c>
      <c r="G997">
        <v>32.229999999999997</v>
      </c>
      <c r="H997">
        <v>11</v>
      </c>
      <c r="I997">
        <v>915.6</v>
      </c>
      <c r="J997">
        <v>2</v>
      </c>
      <c r="K997">
        <v>794.3</v>
      </c>
    </row>
    <row r="998" spans="1:11" x14ac:dyDescent="0.3">
      <c r="A998" s="1">
        <v>45219</v>
      </c>
      <c r="B998" t="s">
        <v>23</v>
      </c>
      <c r="C998" t="s">
        <v>24</v>
      </c>
      <c r="D998" t="s">
        <v>27</v>
      </c>
      <c r="E998" t="s">
        <v>14</v>
      </c>
      <c r="F998" t="s">
        <v>16</v>
      </c>
      <c r="G998">
        <v>51.37</v>
      </c>
      <c r="H998">
        <v>10</v>
      </c>
      <c r="I998">
        <v>201.7</v>
      </c>
      <c r="J998">
        <v>1</v>
      </c>
      <c r="K998">
        <v>130.94</v>
      </c>
    </row>
    <row r="999" spans="1:11" x14ac:dyDescent="0.3">
      <c r="A999" s="1">
        <v>45065</v>
      </c>
      <c r="B999" t="s">
        <v>11</v>
      </c>
      <c r="C999" t="s">
        <v>12</v>
      </c>
      <c r="D999" t="s">
        <v>19</v>
      </c>
      <c r="E999" t="s">
        <v>14</v>
      </c>
      <c r="F999" t="s">
        <v>16</v>
      </c>
      <c r="G999">
        <v>15.34</v>
      </c>
      <c r="H999">
        <v>17</v>
      </c>
      <c r="I999">
        <v>1460.96</v>
      </c>
      <c r="J999">
        <v>1</v>
      </c>
      <c r="K999">
        <v>1413.01</v>
      </c>
    </row>
    <row r="1000" spans="1:11" x14ac:dyDescent="0.3">
      <c r="A1000" s="1">
        <v>45265</v>
      </c>
      <c r="B1000" t="s">
        <v>21</v>
      </c>
      <c r="C1000" t="s">
        <v>18</v>
      </c>
      <c r="D1000" t="s">
        <v>28</v>
      </c>
      <c r="E1000" t="s">
        <v>20</v>
      </c>
      <c r="F1000" t="s">
        <v>16</v>
      </c>
      <c r="G1000">
        <v>16.96</v>
      </c>
      <c r="H1000">
        <v>5</v>
      </c>
      <c r="I1000">
        <v>317.69</v>
      </c>
      <c r="J1000">
        <v>3</v>
      </c>
      <c r="K1000">
        <v>160.72999999999999</v>
      </c>
    </row>
    <row r="1001" spans="1:11" x14ac:dyDescent="0.3">
      <c r="A1001" s="1">
        <v>45056</v>
      </c>
      <c r="B1001" t="s">
        <v>11</v>
      </c>
      <c r="C1001" t="s">
        <v>24</v>
      </c>
      <c r="D1001" t="s">
        <v>25</v>
      </c>
      <c r="E1001" t="s">
        <v>20</v>
      </c>
      <c r="F1001" t="s">
        <v>26</v>
      </c>
      <c r="G1001">
        <v>52.81</v>
      </c>
      <c r="H1001">
        <v>16</v>
      </c>
      <c r="I1001">
        <v>926.74</v>
      </c>
      <c r="J1001">
        <v>1</v>
      </c>
      <c r="K1001">
        <v>832.87</v>
      </c>
    </row>
    <row r="1002" spans="1:11" x14ac:dyDescent="0.3">
      <c r="A1002" s="1">
        <v>45181</v>
      </c>
      <c r="B1002" t="s">
        <v>23</v>
      </c>
      <c r="C1002" t="s">
        <v>24</v>
      </c>
      <c r="D1002" t="s">
        <v>27</v>
      </c>
      <c r="E1002" t="s">
        <v>20</v>
      </c>
      <c r="F1002" t="s">
        <v>26</v>
      </c>
      <c r="G1002">
        <v>160.85</v>
      </c>
      <c r="H1002">
        <v>11</v>
      </c>
      <c r="I1002">
        <v>503.1</v>
      </c>
      <c r="J1002">
        <v>1</v>
      </c>
      <c r="K1002">
        <v>336.99</v>
      </c>
    </row>
    <row r="1003" spans="1:11" x14ac:dyDescent="0.3">
      <c r="A1003" s="1">
        <v>45236</v>
      </c>
      <c r="B1003" t="s">
        <v>23</v>
      </c>
      <c r="C1003" t="s">
        <v>24</v>
      </c>
      <c r="D1003" t="s">
        <v>27</v>
      </c>
      <c r="E1003" t="s">
        <v>20</v>
      </c>
      <c r="F1003" t="s">
        <v>22</v>
      </c>
      <c r="G1003">
        <v>107.23</v>
      </c>
      <c r="H1003">
        <v>13</v>
      </c>
      <c r="I1003">
        <v>654.44000000000005</v>
      </c>
      <c r="J1003">
        <v>1</v>
      </c>
      <c r="K1003">
        <v>505.93</v>
      </c>
    </row>
    <row r="1004" spans="1:11" x14ac:dyDescent="0.3">
      <c r="A1004" s="1">
        <v>44949</v>
      </c>
      <c r="B1004" t="s">
        <v>21</v>
      </c>
      <c r="C1004" t="s">
        <v>12</v>
      </c>
      <c r="D1004" t="s">
        <v>25</v>
      </c>
      <c r="E1004" t="s">
        <v>20</v>
      </c>
      <c r="F1004" t="s">
        <v>15</v>
      </c>
      <c r="G1004">
        <v>101.48</v>
      </c>
      <c r="H1004">
        <v>2</v>
      </c>
      <c r="I1004">
        <v>47.62</v>
      </c>
      <c r="J1004">
        <v>2</v>
      </c>
      <c r="K1004">
        <v>-146.66</v>
      </c>
    </row>
    <row r="1005" spans="1:11" x14ac:dyDescent="0.3">
      <c r="A1005" s="1">
        <v>45291</v>
      </c>
      <c r="B1005" t="s">
        <v>21</v>
      </c>
      <c r="C1005" t="s">
        <v>18</v>
      </c>
      <c r="D1005" t="s">
        <v>19</v>
      </c>
      <c r="E1005" t="s">
        <v>14</v>
      </c>
      <c r="F1005" t="s">
        <v>15</v>
      </c>
      <c r="G1005">
        <v>191.28</v>
      </c>
      <c r="H1005">
        <v>12</v>
      </c>
      <c r="I1005">
        <v>1193.68</v>
      </c>
      <c r="J1005">
        <v>2</v>
      </c>
      <c r="K1005">
        <v>957.95</v>
      </c>
    </row>
    <row r="1006" spans="1:11" x14ac:dyDescent="0.3">
      <c r="A1006" s="1">
        <v>44932</v>
      </c>
      <c r="B1006" t="s">
        <v>21</v>
      </c>
      <c r="C1006" t="s">
        <v>18</v>
      </c>
      <c r="D1006" t="s">
        <v>28</v>
      </c>
      <c r="E1006" t="s">
        <v>20</v>
      </c>
      <c r="F1006" t="s">
        <v>26</v>
      </c>
      <c r="G1006">
        <v>62.08</v>
      </c>
      <c r="H1006">
        <v>9</v>
      </c>
      <c r="I1006">
        <v>190.43</v>
      </c>
      <c r="J1006">
        <v>1</v>
      </c>
      <c r="K1006">
        <v>86.94</v>
      </c>
    </row>
    <row r="1007" spans="1:11" x14ac:dyDescent="0.3">
      <c r="A1007" s="1">
        <v>44997</v>
      </c>
      <c r="B1007" t="s">
        <v>11</v>
      </c>
      <c r="C1007" t="s">
        <v>18</v>
      </c>
      <c r="D1007" t="s">
        <v>27</v>
      </c>
      <c r="E1007" t="s">
        <v>14</v>
      </c>
      <c r="F1007" t="s">
        <v>26</v>
      </c>
      <c r="G1007">
        <v>168.4</v>
      </c>
      <c r="H1007">
        <v>16</v>
      </c>
      <c r="I1007">
        <v>318.22000000000003</v>
      </c>
      <c r="J1007">
        <v>0</v>
      </c>
      <c r="K1007">
        <v>149.82</v>
      </c>
    </row>
    <row r="1008" spans="1:11" x14ac:dyDescent="0.3">
      <c r="A1008" s="1">
        <v>45039</v>
      </c>
      <c r="B1008" t="s">
        <v>11</v>
      </c>
      <c r="C1008" t="s">
        <v>29</v>
      </c>
      <c r="D1008" t="s">
        <v>13</v>
      </c>
      <c r="E1008" t="s">
        <v>14</v>
      </c>
      <c r="F1008" t="s">
        <v>15</v>
      </c>
      <c r="G1008">
        <v>75.849999999999994</v>
      </c>
      <c r="H1008">
        <v>14</v>
      </c>
      <c r="I1008">
        <v>432.6</v>
      </c>
      <c r="J1008">
        <v>0</v>
      </c>
      <c r="K1008">
        <v>356.75</v>
      </c>
    </row>
    <row r="1009" spans="1:11" x14ac:dyDescent="0.3">
      <c r="A1009" s="1">
        <v>45056</v>
      </c>
      <c r="B1009" t="s">
        <v>11</v>
      </c>
      <c r="C1009" t="s">
        <v>12</v>
      </c>
      <c r="D1009" t="s">
        <v>13</v>
      </c>
      <c r="E1009" t="s">
        <v>20</v>
      </c>
      <c r="F1009" t="s">
        <v>26</v>
      </c>
      <c r="G1009">
        <v>151.54</v>
      </c>
      <c r="H1009">
        <v>15</v>
      </c>
      <c r="I1009">
        <v>1308.94</v>
      </c>
      <c r="J1009">
        <v>1</v>
      </c>
      <c r="K1009">
        <v>1113.56</v>
      </c>
    </row>
    <row r="1010" spans="1:11" x14ac:dyDescent="0.3">
      <c r="A1010" s="1">
        <v>45253</v>
      </c>
      <c r="B1010" t="s">
        <v>23</v>
      </c>
      <c r="C1010" t="s">
        <v>29</v>
      </c>
      <c r="D1010" t="s">
        <v>27</v>
      </c>
      <c r="E1010" t="s">
        <v>20</v>
      </c>
      <c r="F1010" t="s">
        <v>15</v>
      </c>
      <c r="G1010">
        <v>36.25</v>
      </c>
      <c r="H1010">
        <v>5</v>
      </c>
      <c r="I1010">
        <v>136.27000000000001</v>
      </c>
      <c r="J1010">
        <v>1</v>
      </c>
      <c r="K1010">
        <v>64.040000000000006</v>
      </c>
    </row>
    <row r="1011" spans="1:11" x14ac:dyDescent="0.3">
      <c r="A1011" s="1">
        <v>45158</v>
      </c>
      <c r="B1011" t="s">
        <v>17</v>
      </c>
      <c r="C1011" t="s">
        <v>29</v>
      </c>
      <c r="D1011" t="s">
        <v>27</v>
      </c>
      <c r="E1011" t="s">
        <v>20</v>
      </c>
      <c r="F1011" t="s">
        <v>22</v>
      </c>
      <c r="G1011">
        <v>137.74</v>
      </c>
      <c r="H1011">
        <v>7</v>
      </c>
      <c r="I1011">
        <v>284.61</v>
      </c>
      <c r="J1011">
        <v>2</v>
      </c>
      <c r="K1011">
        <v>116.24</v>
      </c>
    </row>
    <row r="1012" spans="1:11" x14ac:dyDescent="0.3">
      <c r="A1012" s="1">
        <v>45085</v>
      </c>
      <c r="B1012" t="s">
        <v>17</v>
      </c>
      <c r="C1012" t="s">
        <v>12</v>
      </c>
      <c r="D1012" t="s">
        <v>13</v>
      </c>
      <c r="E1012" t="s">
        <v>14</v>
      </c>
      <c r="F1012" t="s">
        <v>22</v>
      </c>
      <c r="G1012">
        <v>67.88</v>
      </c>
      <c r="H1012">
        <v>4</v>
      </c>
      <c r="I1012">
        <v>308.14</v>
      </c>
      <c r="J1012">
        <v>2</v>
      </c>
      <c r="K1012">
        <v>147.66</v>
      </c>
    </row>
    <row r="1013" spans="1:11" x14ac:dyDescent="0.3">
      <c r="A1013" s="1">
        <v>44998</v>
      </c>
      <c r="B1013" t="s">
        <v>11</v>
      </c>
      <c r="C1013" t="s">
        <v>12</v>
      </c>
      <c r="D1013" t="s">
        <v>27</v>
      </c>
      <c r="E1013" t="s">
        <v>20</v>
      </c>
      <c r="F1013" t="s">
        <v>26</v>
      </c>
      <c r="G1013">
        <v>162.77000000000001</v>
      </c>
      <c r="H1013">
        <v>12</v>
      </c>
      <c r="I1013">
        <v>291.3</v>
      </c>
      <c r="J1013">
        <v>3</v>
      </c>
      <c r="K1013">
        <v>68.290000000000006</v>
      </c>
    </row>
    <row r="1014" spans="1:11" x14ac:dyDescent="0.3">
      <c r="A1014" s="1">
        <v>44968</v>
      </c>
      <c r="B1014" t="s">
        <v>21</v>
      </c>
      <c r="C1014" t="s">
        <v>29</v>
      </c>
      <c r="D1014" t="s">
        <v>19</v>
      </c>
      <c r="E1014" t="s">
        <v>20</v>
      </c>
      <c r="F1014" t="s">
        <v>15</v>
      </c>
      <c r="G1014">
        <v>27.13</v>
      </c>
      <c r="H1014">
        <v>18</v>
      </c>
      <c r="I1014">
        <v>709.49</v>
      </c>
      <c r="J1014">
        <v>2</v>
      </c>
      <c r="K1014">
        <v>624.59</v>
      </c>
    </row>
    <row r="1015" spans="1:11" x14ac:dyDescent="0.3">
      <c r="A1015" s="1">
        <v>45095</v>
      </c>
      <c r="B1015" t="s">
        <v>17</v>
      </c>
      <c r="C1015" t="s">
        <v>24</v>
      </c>
      <c r="D1015" t="s">
        <v>19</v>
      </c>
      <c r="E1015" t="s">
        <v>20</v>
      </c>
      <c r="F1015" t="s">
        <v>22</v>
      </c>
      <c r="G1015">
        <v>153.21</v>
      </c>
      <c r="H1015">
        <v>15</v>
      </c>
      <c r="I1015">
        <v>272.69</v>
      </c>
      <c r="J1015">
        <v>3</v>
      </c>
      <c r="K1015">
        <v>-11.98</v>
      </c>
    </row>
    <row r="1016" spans="1:11" x14ac:dyDescent="0.3">
      <c r="A1016" s="1">
        <v>45088</v>
      </c>
      <c r="B1016" t="s">
        <v>17</v>
      </c>
      <c r="C1016" t="s">
        <v>18</v>
      </c>
      <c r="D1016" t="s">
        <v>25</v>
      </c>
      <c r="E1016" t="s">
        <v>20</v>
      </c>
      <c r="F1016" t="s">
        <v>26</v>
      </c>
      <c r="G1016">
        <v>171.88</v>
      </c>
      <c r="H1016">
        <v>5</v>
      </c>
      <c r="I1016">
        <v>458.18</v>
      </c>
      <c r="J1016">
        <v>1</v>
      </c>
      <c r="K1016">
        <v>257.85000000000002</v>
      </c>
    </row>
    <row r="1017" spans="1:11" x14ac:dyDescent="0.3">
      <c r="A1017" s="1">
        <v>45079</v>
      </c>
      <c r="B1017" t="s">
        <v>17</v>
      </c>
      <c r="C1017" t="s">
        <v>29</v>
      </c>
      <c r="D1017" t="s">
        <v>19</v>
      </c>
      <c r="E1017" t="s">
        <v>14</v>
      </c>
      <c r="F1017" t="s">
        <v>16</v>
      </c>
      <c r="G1017">
        <v>166.87</v>
      </c>
      <c r="H1017">
        <v>11</v>
      </c>
      <c r="I1017">
        <v>639.33000000000004</v>
      </c>
      <c r="J1017">
        <v>1</v>
      </c>
      <c r="K1017">
        <v>455.67</v>
      </c>
    </row>
    <row r="1018" spans="1:11" x14ac:dyDescent="0.3">
      <c r="A1018" s="1">
        <v>45270</v>
      </c>
      <c r="B1018" t="s">
        <v>21</v>
      </c>
      <c r="C1018" t="s">
        <v>12</v>
      </c>
      <c r="D1018" t="s">
        <v>28</v>
      </c>
      <c r="E1018" t="s">
        <v>20</v>
      </c>
      <c r="F1018" t="s">
        <v>15</v>
      </c>
      <c r="G1018">
        <v>22.27</v>
      </c>
      <c r="H1018">
        <v>3</v>
      </c>
      <c r="I1018">
        <v>31.73</v>
      </c>
      <c r="J1018">
        <v>1</v>
      </c>
      <c r="K1018">
        <v>-11.84</v>
      </c>
    </row>
    <row r="1019" spans="1:11" x14ac:dyDescent="0.3">
      <c r="A1019" s="1">
        <v>45194</v>
      </c>
      <c r="B1019" t="s">
        <v>23</v>
      </c>
      <c r="C1019" t="s">
        <v>24</v>
      </c>
      <c r="D1019" t="s">
        <v>19</v>
      </c>
      <c r="E1019" t="s">
        <v>14</v>
      </c>
      <c r="F1019" t="s">
        <v>15</v>
      </c>
      <c r="G1019">
        <v>96.28</v>
      </c>
      <c r="H1019">
        <v>20</v>
      </c>
      <c r="I1019">
        <v>1203.23</v>
      </c>
      <c r="J1019">
        <v>2</v>
      </c>
      <c r="K1019">
        <v>1034.93</v>
      </c>
    </row>
    <row r="1020" spans="1:11" x14ac:dyDescent="0.3">
      <c r="A1020" s="1">
        <v>45000</v>
      </c>
      <c r="B1020" t="s">
        <v>11</v>
      </c>
      <c r="C1020" t="s">
        <v>18</v>
      </c>
      <c r="D1020" t="s">
        <v>13</v>
      </c>
      <c r="E1020" t="s">
        <v>20</v>
      </c>
      <c r="F1020" t="s">
        <v>22</v>
      </c>
      <c r="G1020">
        <v>137.96</v>
      </c>
      <c r="H1020">
        <v>7</v>
      </c>
      <c r="I1020">
        <v>182.9</v>
      </c>
      <c r="J1020">
        <v>1</v>
      </c>
      <c r="K1020">
        <v>-2.58</v>
      </c>
    </row>
    <row r="1021" spans="1:11" x14ac:dyDescent="0.3">
      <c r="A1021" s="1">
        <v>44961</v>
      </c>
      <c r="B1021" t="s">
        <v>21</v>
      </c>
      <c r="C1021" t="s">
        <v>18</v>
      </c>
      <c r="D1021" t="s">
        <v>19</v>
      </c>
      <c r="E1021" t="s">
        <v>20</v>
      </c>
      <c r="F1021" t="s">
        <v>15</v>
      </c>
      <c r="G1021">
        <v>165.07</v>
      </c>
      <c r="H1021">
        <v>15</v>
      </c>
      <c r="I1021">
        <v>298.06</v>
      </c>
      <c r="J1021">
        <v>2</v>
      </c>
      <c r="K1021">
        <v>88.28</v>
      </c>
    </row>
    <row r="1022" spans="1:11" x14ac:dyDescent="0.3">
      <c r="A1022" s="1">
        <v>45227</v>
      </c>
      <c r="B1022" t="s">
        <v>23</v>
      </c>
      <c r="C1022" t="s">
        <v>12</v>
      </c>
      <c r="D1022" t="s">
        <v>28</v>
      </c>
      <c r="E1022" t="s">
        <v>14</v>
      </c>
      <c r="F1022" t="s">
        <v>22</v>
      </c>
      <c r="G1022">
        <v>59.25</v>
      </c>
      <c r="H1022">
        <v>19</v>
      </c>
      <c r="I1022">
        <v>1294.3399999999999</v>
      </c>
      <c r="J1022">
        <v>1</v>
      </c>
      <c r="K1022">
        <v>1193.7</v>
      </c>
    </row>
    <row r="1023" spans="1:11" x14ac:dyDescent="0.3">
      <c r="A1023" s="1">
        <v>45084</v>
      </c>
      <c r="B1023" t="s">
        <v>17</v>
      </c>
      <c r="C1023" t="s">
        <v>24</v>
      </c>
      <c r="D1023" t="s">
        <v>13</v>
      </c>
      <c r="E1023" t="s">
        <v>14</v>
      </c>
      <c r="F1023" t="s">
        <v>16</v>
      </c>
      <c r="G1023">
        <v>92.74</v>
      </c>
      <c r="H1023">
        <v>18</v>
      </c>
      <c r="I1023">
        <v>1125.9100000000001</v>
      </c>
      <c r="J1023">
        <v>2</v>
      </c>
      <c r="K1023">
        <v>971.27</v>
      </c>
    </row>
    <row r="1024" spans="1:11" x14ac:dyDescent="0.3">
      <c r="A1024" s="1">
        <v>45189</v>
      </c>
      <c r="B1024" t="s">
        <v>23</v>
      </c>
      <c r="C1024" t="s">
        <v>24</v>
      </c>
      <c r="D1024" t="s">
        <v>19</v>
      </c>
      <c r="E1024" t="s">
        <v>20</v>
      </c>
      <c r="F1024" t="s">
        <v>16</v>
      </c>
      <c r="G1024">
        <v>11.07</v>
      </c>
      <c r="H1024">
        <v>9</v>
      </c>
      <c r="I1024">
        <v>133.49</v>
      </c>
      <c r="J1024">
        <v>0</v>
      </c>
      <c r="K1024">
        <v>122.42</v>
      </c>
    </row>
    <row r="1025" spans="1:11" x14ac:dyDescent="0.3">
      <c r="A1025" s="1">
        <v>45080</v>
      </c>
      <c r="B1025" t="s">
        <v>17</v>
      </c>
      <c r="C1025" t="s">
        <v>18</v>
      </c>
      <c r="D1025" t="s">
        <v>25</v>
      </c>
      <c r="E1025" t="s">
        <v>14</v>
      </c>
      <c r="F1025" t="s">
        <v>15</v>
      </c>
      <c r="G1025">
        <v>187.7</v>
      </c>
      <c r="H1025">
        <v>8</v>
      </c>
      <c r="I1025">
        <v>141.94999999999999</v>
      </c>
      <c r="J1025">
        <v>0</v>
      </c>
      <c r="K1025">
        <v>-45.75</v>
      </c>
    </row>
    <row r="1026" spans="1:11" x14ac:dyDescent="0.3">
      <c r="A1026" s="1">
        <v>45094</v>
      </c>
      <c r="B1026" t="s">
        <v>17</v>
      </c>
      <c r="C1026" t="s">
        <v>24</v>
      </c>
      <c r="D1026" t="s">
        <v>13</v>
      </c>
      <c r="E1026" t="s">
        <v>20</v>
      </c>
      <c r="F1026" t="s">
        <v>16</v>
      </c>
      <c r="G1026">
        <v>109.96</v>
      </c>
      <c r="H1026">
        <v>14</v>
      </c>
      <c r="I1026">
        <v>227.86</v>
      </c>
      <c r="J1026">
        <v>3</v>
      </c>
      <c r="K1026">
        <v>71.03</v>
      </c>
    </row>
    <row r="1027" spans="1:11" x14ac:dyDescent="0.3">
      <c r="A1027" s="1">
        <v>45179</v>
      </c>
      <c r="B1027" t="s">
        <v>23</v>
      </c>
      <c r="C1027" t="s">
        <v>12</v>
      </c>
      <c r="D1027" t="s">
        <v>27</v>
      </c>
      <c r="E1027" t="s">
        <v>20</v>
      </c>
      <c r="F1027" t="s">
        <v>15</v>
      </c>
      <c r="G1027">
        <v>154.75</v>
      </c>
      <c r="H1027">
        <v>2</v>
      </c>
      <c r="I1027">
        <v>116.5</v>
      </c>
      <c r="J1027">
        <v>2</v>
      </c>
      <c r="K1027">
        <v>-135.38999999999999</v>
      </c>
    </row>
    <row r="1028" spans="1:11" x14ac:dyDescent="0.3">
      <c r="A1028" s="1">
        <v>45271</v>
      </c>
      <c r="B1028" t="s">
        <v>21</v>
      </c>
      <c r="C1028" t="s">
        <v>29</v>
      </c>
      <c r="D1028" t="s">
        <v>27</v>
      </c>
      <c r="E1028" t="s">
        <v>20</v>
      </c>
      <c r="F1028" t="s">
        <v>16</v>
      </c>
      <c r="G1028">
        <v>151.35</v>
      </c>
      <c r="H1028">
        <v>17</v>
      </c>
      <c r="I1028">
        <v>1182.28</v>
      </c>
      <c r="J1028">
        <v>1</v>
      </c>
      <c r="K1028">
        <v>986.98</v>
      </c>
    </row>
    <row r="1029" spans="1:11" x14ac:dyDescent="0.3">
      <c r="A1029" s="1">
        <v>45220</v>
      </c>
      <c r="B1029" t="s">
        <v>23</v>
      </c>
      <c r="C1029" t="s">
        <v>29</v>
      </c>
      <c r="D1029" t="s">
        <v>27</v>
      </c>
      <c r="E1029" t="s">
        <v>20</v>
      </c>
      <c r="F1029" t="s">
        <v>22</v>
      </c>
      <c r="G1029">
        <v>79.010000000000005</v>
      </c>
      <c r="H1029">
        <v>14</v>
      </c>
      <c r="I1029">
        <v>1197.02</v>
      </c>
      <c r="J1029">
        <v>3</v>
      </c>
      <c r="K1029">
        <v>1090.8499999999999</v>
      </c>
    </row>
    <row r="1030" spans="1:11" x14ac:dyDescent="0.3">
      <c r="A1030" s="1">
        <v>45225</v>
      </c>
      <c r="B1030" t="s">
        <v>23</v>
      </c>
      <c r="C1030" t="s">
        <v>24</v>
      </c>
      <c r="D1030" t="s">
        <v>25</v>
      </c>
      <c r="E1030" t="s">
        <v>20</v>
      </c>
      <c r="F1030" t="s">
        <v>16</v>
      </c>
      <c r="G1030">
        <v>63.4</v>
      </c>
      <c r="H1030">
        <v>2</v>
      </c>
      <c r="I1030">
        <v>161.32</v>
      </c>
      <c r="J1030">
        <v>2</v>
      </c>
      <c r="K1030">
        <v>38.04</v>
      </c>
    </row>
    <row r="1031" spans="1:11" x14ac:dyDescent="0.3">
      <c r="A1031" s="1">
        <v>45105</v>
      </c>
      <c r="B1031" t="s">
        <v>17</v>
      </c>
      <c r="C1031" t="s">
        <v>24</v>
      </c>
      <c r="D1031" t="s">
        <v>13</v>
      </c>
      <c r="E1031" t="s">
        <v>20</v>
      </c>
      <c r="F1031" t="s">
        <v>16</v>
      </c>
      <c r="G1031">
        <v>49.55</v>
      </c>
      <c r="H1031">
        <v>7</v>
      </c>
      <c r="I1031">
        <v>351.55</v>
      </c>
      <c r="J1031">
        <v>0</v>
      </c>
      <c r="K1031">
        <v>302</v>
      </c>
    </row>
    <row r="1032" spans="1:11" x14ac:dyDescent="0.3">
      <c r="A1032" s="1">
        <v>45272</v>
      </c>
      <c r="B1032" t="s">
        <v>21</v>
      </c>
      <c r="C1032" t="s">
        <v>29</v>
      </c>
      <c r="D1032" t="s">
        <v>28</v>
      </c>
      <c r="E1032" t="s">
        <v>20</v>
      </c>
      <c r="F1032" t="s">
        <v>15</v>
      </c>
      <c r="G1032">
        <v>117.19</v>
      </c>
      <c r="H1032">
        <v>10</v>
      </c>
      <c r="I1032">
        <v>264.73</v>
      </c>
      <c r="J1032">
        <v>0</v>
      </c>
      <c r="K1032">
        <v>147.54</v>
      </c>
    </row>
    <row r="1033" spans="1:11" x14ac:dyDescent="0.3">
      <c r="A1033" s="1">
        <v>45002</v>
      </c>
      <c r="B1033" t="s">
        <v>11</v>
      </c>
      <c r="C1033" t="s">
        <v>24</v>
      </c>
      <c r="D1033" t="s">
        <v>13</v>
      </c>
      <c r="E1033" t="s">
        <v>20</v>
      </c>
      <c r="F1033" t="s">
        <v>22</v>
      </c>
      <c r="G1033">
        <v>144.9</v>
      </c>
      <c r="H1033">
        <v>15</v>
      </c>
      <c r="I1033">
        <v>1450.7</v>
      </c>
      <c r="J1033">
        <v>3</v>
      </c>
      <c r="K1033">
        <v>1228.0999999999999</v>
      </c>
    </row>
    <row r="1034" spans="1:11" x14ac:dyDescent="0.3">
      <c r="A1034" s="1">
        <v>45153</v>
      </c>
      <c r="B1034" t="s">
        <v>17</v>
      </c>
      <c r="C1034" t="s">
        <v>18</v>
      </c>
      <c r="D1034" t="s">
        <v>13</v>
      </c>
      <c r="E1034" t="s">
        <v>20</v>
      </c>
      <c r="F1034" t="s">
        <v>22</v>
      </c>
      <c r="G1034">
        <v>151.6</v>
      </c>
      <c r="H1034">
        <v>8</v>
      </c>
      <c r="I1034">
        <v>345.92</v>
      </c>
      <c r="J1034">
        <v>0</v>
      </c>
      <c r="K1034">
        <v>194.32</v>
      </c>
    </row>
    <row r="1035" spans="1:11" x14ac:dyDescent="0.3">
      <c r="A1035" s="1">
        <v>45185</v>
      </c>
      <c r="B1035" t="s">
        <v>23</v>
      </c>
      <c r="C1035" t="s">
        <v>24</v>
      </c>
      <c r="D1035" t="s">
        <v>19</v>
      </c>
      <c r="E1035" t="s">
        <v>14</v>
      </c>
      <c r="F1035" t="s">
        <v>22</v>
      </c>
      <c r="G1035">
        <v>34.43</v>
      </c>
      <c r="H1035">
        <v>14</v>
      </c>
      <c r="I1035">
        <v>907.85</v>
      </c>
      <c r="J1035">
        <v>2</v>
      </c>
      <c r="K1035">
        <v>796.34</v>
      </c>
    </row>
    <row r="1036" spans="1:11" x14ac:dyDescent="0.3">
      <c r="A1036" s="1">
        <v>45289</v>
      </c>
      <c r="B1036" t="s">
        <v>21</v>
      </c>
      <c r="C1036" t="s">
        <v>18</v>
      </c>
      <c r="D1036" t="s">
        <v>27</v>
      </c>
      <c r="E1036" t="s">
        <v>14</v>
      </c>
      <c r="F1036" t="s">
        <v>22</v>
      </c>
      <c r="G1036">
        <v>198.68</v>
      </c>
      <c r="H1036">
        <v>13</v>
      </c>
      <c r="I1036">
        <v>814.9</v>
      </c>
      <c r="J1036">
        <v>1</v>
      </c>
      <c r="K1036">
        <v>592.05999999999995</v>
      </c>
    </row>
    <row r="1037" spans="1:11" x14ac:dyDescent="0.3">
      <c r="A1037" s="1">
        <v>45009</v>
      </c>
      <c r="B1037" t="s">
        <v>11</v>
      </c>
      <c r="C1037" t="s">
        <v>29</v>
      </c>
      <c r="D1037" t="s">
        <v>19</v>
      </c>
      <c r="E1037" t="s">
        <v>14</v>
      </c>
      <c r="F1037" t="s">
        <v>26</v>
      </c>
      <c r="G1037">
        <v>16.850000000000001</v>
      </c>
      <c r="H1037">
        <v>6</v>
      </c>
      <c r="I1037">
        <v>395.96</v>
      </c>
      <c r="J1037">
        <v>1</v>
      </c>
      <c r="K1037">
        <v>339.44</v>
      </c>
    </row>
    <row r="1038" spans="1:11" x14ac:dyDescent="0.3">
      <c r="A1038" s="1">
        <v>45260</v>
      </c>
      <c r="B1038" t="s">
        <v>23</v>
      </c>
      <c r="C1038" t="s">
        <v>24</v>
      </c>
      <c r="D1038" t="s">
        <v>27</v>
      </c>
      <c r="E1038" t="s">
        <v>14</v>
      </c>
      <c r="F1038" t="s">
        <v>22</v>
      </c>
      <c r="G1038">
        <v>55.14</v>
      </c>
      <c r="H1038">
        <v>19</v>
      </c>
      <c r="I1038">
        <v>1721.98</v>
      </c>
      <c r="J1038">
        <v>2</v>
      </c>
      <c r="K1038">
        <v>1586.22</v>
      </c>
    </row>
    <row r="1039" spans="1:11" x14ac:dyDescent="0.3">
      <c r="A1039" s="1">
        <v>44963</v>
      </c>
      <c r="B1039" t="s">
        <v>21</v>
      </c>
      <c r="C1039" t="s">
        <v>29</v>
      </c>
      <c r="D1039" t="s">
        <v>19</v>
      </c>
      <c r="E1039" t="s">
        <v>14</v>
      </c>
      <c r="F1039" t="s">
        <v>16</v>
      </c>
      <c r="G1039">
        <v>43.2</v>
      </c>
      <c r="H1039">
        <v>2</v>
      </c>
      <c r="I1039">
        <v>173.07</v>
      </c>
      <c r="J1039">
        <v>1</v>
      </c>
      <c r="K1039">
        <v>88.27</v>
      </c>
    </row>
    <row r="1040" spans="1:11" x14ac:dyDescent="0.3">
      <c r="A1040" s="1">
        <v>45248</v>
      </c>
      <c r="B1040" t="s">
        <v>23</v>
      </c>
      <c r="C1040" t="s">
        <v>24</v>
      </c>
      <c r="D1040" t="s">
        <v>27</v>
      </c>
      <c r="E1040" t="s">
        <v>14</v>
      </c>
      <c r="F1040" t="s">
        <v>26</v>
      </c>
      <c r="G1040">
        <v>170.84</v>
      </c>
      <c r="H1040">
        <v>5</v>
      </c>
      <c r="I1040">
        <v>425.98</v>
      </c>
      <c r="J1040">
        <v>3</v>
      </c>
      <c r="K1040">
        <v>133.06</v>
      </c>
    </row>
    <row r="1041" spans="1:11" x14ac:dyDescent="0.3">
      <c r="A1041" s="1">
        <v>45002</v>
      </c>
      <c r="B1041" t="s">
        <v>11</v>
      </c>
      <c r="C1041" t="s">
        <v>12</v>
      </c>
      <c r="D1041" t="s">
        <v>27</v>
      </c>
      <c r="E1041" t="s">
        <v>20</v>
      </c>
      <c r="F1041" t="s">
        <v>22</v>
      </c>
      <c r="G1041">
        <v>54.94</v>
      </c>
      <c r="H1041">
        <v>13</v>
      </c>
      <c r="I1041">
        <v>208.37</v>
      </c>
      <c r="J1041">
        <v>3</v>
      </c>
      <c r="K1041">
        <v>132.94</v>
      </c>
    </row>
    <row r="1042" spans="1:11" x14ac:dyDescent="0.3">
      <c r="A1042" s="1">
        <v>44948</v>
      </c>
      <c r="B1042" t="s">
        <v>21</v>
      </c>
      <c r="C1042" t="s">
        <v>12</v>
      </c>
      <c r="D1042" t="s">
        <v>28</v>
      </c>
      <c r="E1042" t="s">
        <v>20</v>
      </c>
      <c r="F1042" t="s">
        <v>26</v>
      </c>
      <c r="G1042">
        <v>185.89</v>
      </c>
      <c r="H1042">
        <v>11</v>
      </c>
      <c r="I1042">
        <v>496.15</v>
      </c>
      <c r="J1042">
        <v>2</v>
      </c>
      <c r="K1042">
        <v>258.58999999999997</v>
      </c>
    </row>
    <row r="1043" spans="1:11" x14ac:dyDescent="0.3">
      <c r="A1043" s="1">
        <v>45225</v>
      </c>
      <c r="B1043" t="s">
        <v>23</v>
      </c>
      <c r="C1043" t="s">
        <v>29</v>
      </c>
      <c r="D1043" t="s">
        <v>25</v>
      </c>
      <c r="E1043" t="s">
        <v>20</v>
      </c>
      <c r="F1043" t="s">
        <v>15</v>
      </c>
      <c r="G1043">
        <v>51.42</v>
      </c>
      <c r="H1043">
        <v>4</v>
      </c>
      <c r="I1043">
        <v>118.74</v>
      </c>
      <c r="J1043">
        <v>3</v>
      </c>
      <c r="K1043">
        <v>17.89</v>
      </c>
    </row>
    <row r="1044" spans="1:11" x14ac:dyDescent="0.3">
      <c r="A1044" s="1">
        <v>45181</v>
      </c>
      <c r="B1044" t="s">
        <v>23</v>
      </c>
      <c r="C1044" t="s">
        <v>29</v>
      </c>
      <c r="D1044" t="s">
        <v>13</v>
      </c>
      <c r="E1044" t="s">
        <v>14</v>
      </c>
      <c r="F1044" t="s">
        <v>16</v>
      </c>
      <c r="G1044">
        <v>146.24</v>
      </c>
      <c r="H1044">
        <v>20</v>
      </c>
      <c r="I1044">
        <v>521.54</v>
      </c>
      <c r="J1044">
        <v>1</v>
      </c>
      <c r="K1044">
        <v>336.89</v>
      </c>
    </row>
    <row r="1045" spans="1:11" x14ac:dyDescent="0.3">
      <c r="A1045" s="1">
        <v>44978</v>
      </c>
      <c r="B1045" t="s">
        <v>21</v>
      </c>
      <c r="C1045" t="s">
        <v>29</v>
      </c>
      <c r="D1045" t="s">
        <v>13</v>
      </c>
      <c r="E1045" t="s">
        <v>20</v>
      </c>
      <c r="F1045" t="s">
        <v>16</v>
      </c>
      <c r="G1045">
        <v>12.39</v>
      </c>
      <c r="H1045">
        <v>11</v>
      </c>
      <c r="I1045">
        <v>725.74</v>
      </c>
      <c r="J1045">
        <v>2</v>
      </c>
      <c r="K1045">
        <v>700.88</v>
      </c>
    </row>
    <row r="1046" spans="1:11" x14ac:dyDescent="0.3">
      <c r="A1046" s="1">
        <v>44979</v>
      </c>
      <c r="B1046" t="s">
        <v>21</v>
      </c>
      <c r="C1046" t="s">
        <v>24</v>
      </c>
      <c r="D1046" t="s">
        <v>19</v>
      </c>
      <c r="E1046" t="s">
        <v>14</v>
      </c>
      <c r="F1046" t="s">
        <v>16</v>
      </c>
      <c r="G1046">
        <v>93.32</v>
      </c>
      <c r="H1046">
        <v>12</v>
      </c>
      <c r="I1046">
        <v>641.54999999999995</v>
      </c>
      <c r="J1046">
        <v>3</v>
      </c>
      <c r="K1046">
        <v>474.34</v>
      </c>
    </row>
    <row r="1047" spans="1:11" x14ac:dyDescent="0.3">
      <c r="A1047" s="1">
        <v>45212</v>
      </c>
      <c r="B1047" t="s">
        <v>23</v>
      </c>
      <c r="C1047" t="s">
        <v>29</v>
      </c>
      <c r="D1047" t="s">
        <v>25</v>
      </c>
      <c r="E1047" t="s">
        <v>14</v>
      </c>
      <c r="F1047" t="s">
        <v>15</v>
      </c>
      <c r="G1047">
        <v>5.97</v>
      </c>
      <c r="H1047">
        <v>10</v>
      </c>
      <c r="I1047">
        <v>144.6</v>
      </c>
      <c r="J1047">
        <v>3</v>
      </c>
      <c r="K1047">
        <v>52.11</v>
      </c>
    </row>
    <row r="1048" spans="1:11" x14ac:dyDescent="0.3">
      <c r="A1048" s="1">
        <v>45035</v>
      </c>
      <c r="B1048" t="s">
        <v>11</v>
      </c>
      <c r="C1048" t="s">
        <v>12</v>
      </c>
      <c r="D1048" t="s">
        <v>25</v>
      </c>
      <c r="E1048" t="s">
        <v>14</v>
      </c>
      <c r="F1048" t="s">
        <v>15</v>
      </c>
      <c r="G1048">
        <v>31.01</v>
      </c>
      <c r="H1048">
        <v>18</v>
      </c>
      <c r="I1048">
        <v>725.09</v>
      </c>
      <c r="J1048">
        <v>1</v>
      </c>
      <c r="K1048">
        <v>666</v>
      </c>
    </row>
    <row r="1049" spans="1:11" x14ac:dyDescent="0.3">
      <c r="A1049" s="1">
        <v>45010</v>
      </c>
      <c r="B1049" t="s">
        <v>11</v>
      </c>
      <c r="C1049" t="s">
        <v>24</v>
      </c>
      <c r="D1049" t="s">
        <v>13</v>
      </c>
      <c r="E1049" t="s">
        <v>20</v>
      </c>
      <c r="F1049" t="s">
        <v>16</v>
      </c>
      <c r="G1049">
        <v>100.62</v>
      </c>
      <c r="H1049">
        <v>3</v>
      </c>
      <c r="I1049">
        <v>271.89999999999998</v>
      </c>
      <c r="J1049">
        <v>0</v>
      </c>
      <c r="K1049">
        <v>171.28</v>
      </c>
    </row>
    <row r="1050" spans="1:11" x14ac:dyDescent="0.3">
      <c r="A1050" s="1">
        <v>45100</v>
      </c>
      <c r="B1050" t="s">
        <v>17</v>
      </c>
      <c r="C1050" t="s">
        <v>24</v>
      </c>
      <c r="D1050" t="s">
        <v>27</v>
      </c>
      <c r="E1050" t="s">
        <v>14</v>
      </c>
      <c r="F1050" t="s">
        <v>22</v>
      </c>
      <c r="G1050">
        <v>101.03</v>
      </c>
      <c r="H1050">
        <v>9</v>
      </c>
      <c r="I1050">
        <v>739.17</v>
      </c>
      <c r="J1050">
        <v>0</v>
      </c>
      <c r="K1050">
        <v>638.14</v>
      </c>
    </row>
    <row r="1051" spans="1:11" x14ac:dyDescent="0.3">
      <c r="A1051" s="1">
        <v>45180</v>
      </c>
      <c r="B1051" t="s">
        <v>23</v>
      </c>
      <c r="C1051" t="s">
        <v>18</v>
      </c>
      <c r="D1051" t="s">
        <v>25</v>
      </c>
      <c r="E1051" t="s">
        <v>14</v>
      </c>
      <c r="F1051" t="s">
        <v>26</v>
      </c>
      <c r="G1051">
        <v>185.87</v>
      </c>
      <c r="H1051">
        <v>9</v>
      </c>
      <c r="I1051">
        <v>714.63</v>
      </c>
      <c r="J1051">
        <v>3</v>
      </c>
      <c r="K1051">
        <v>476.46</v>
      </c>
    </row>
    <row r="1052" spans="1:11" x14ac:dyDescent="0.3">
      <c r="A1052" s="1">
        <v>45031</v>
      </c>
      <c r="B1052" t="s">
        <v>11</v>
      </c>
      <c r="C1052" t="s">
        <v>24</v>
      </c>
      <c r="D1052" t="s">
        <v>27</v>
      </c>
      <c r="E1052" t="s">
        <v>20</v>
      </c>
      <c r="F1052" t="s">
        <v>26</v>
      </c>
      <c r="G1052">
        <v>198.17</v>
      </c>
      <c r="H1052">
        <v>2</v>
      </c>
      <c r="I1052">
        <v>138.19999999999999</v>
      </c>
      <c r="J1052">
        <v>2</v>
      </c>
      <c r="K1052">
        <v>-82.61</v>
      </c>
    </row>
    <row r="1053" spans="1:11" x14ac:dyDescent="0.3">
      <c r="A1053" s="1">
        <v>45038</v>
      </c>
      <c r="B1053" t="s">
        <v>11</v>
      </c>
      <c r="C1053" t="s">
        <v>12</v>
      </c>
      <c r="D1053" t="s">
        <v>13</v>
      </c>
      <c r="E1053" t="s">
        <v>14</v>
      </c>
      <c r="F1053" t="s">
        <v>22</v>
      </c>
      <c r="G1053">
        <v>183.71</v>
      </c>
      <c r="H1053">
        <v>3</v>
      </c>
      <c r="I1053">
        <v>291.23</v>
      </c>
      <c r="J1053">
        <v>2</v>
      </c>
      <c r="K1053">
        <v>25.98</v>
      </c>
    </row>
    <row r="1054" spans="1:11" x14ac:dyDescent="0.3">
      <c r="A1054" s="1">
        <v>45013</v>
      </c>
      <c r="B1054" t="s">
        <v>11</v>
      </c>
      <c r="C1054" t="s">
        <v>24</v>
      </c>
      <c r="D1054" t="s">
        <v>13</v>
      </c>
      <c r="E1054" t="s">
        <v>14</v>
      </c>
      <c r="F1054" t="s">
        <v>15</v>
      </c>
      <c r="G1054">
        <v>121.85</v>
      </c>
      <c r="H1054">
        <v>7</v>
      </c>
      <c r="I1054">
        <v>149.78</v>
      </c>
      <c r="J1054">
        <v>2</v>
      </c>
      <c r="K1054">
        <v>-63.13</v>
      </c>
    </row>
    <row r="1055" spans="1:11" x14ac:dyDescent="0.3">
      <c r="A1055" s="1">
        <v>45160</v>
      </c>
      <c r="B1055" t="s">
        <v>17</v>
      </c>
      <c r="C1055" t="s">
        <v>24</v>
      </c>
      <c r="D1055" t="s">
        <v>19</v>
      </c>
      <c r="E1055" t="s">
        <v>20</v>
      </c>
      <c r="F1055" t="s">
        <v>16</v>
      </c>
      <c r="G1055">
        <v>84.51</v>
      </c>
      <c r="H1055">
        <v>12</v>
      </c>
      <c r="I1055">
        <v>234.87</v>
      </c>
      <c r="J1055">
        <v>3</v>
      </c>
      <c r="K1055">
        <v>86.21</v>
      </c>
    </row>
    <row r="1056" spans="1:11" x14ac:dyDescent="0.3">
      <c r="A1056" s="1">
        <v>45058</v>
      </c>
      <c r="B1056" t="s">
        <v>11</v>
      </c>
      <c r="C1056" t="s">
        <v>12</v>
      </c>
      <c r="D1056" t="s">
        <v>25</v>
      </c>
      <c r="E1056" t="s">
        <v>20</v>
      </c>
      <c r="F1056" t="s">
        <v>15</v>
      </c>
      <c r="G1056">
        <v>124.51</v>
      </c>
      <c r="H1056">
        <v>11</v>
      </c>
      <c r="I1056">
        <v>1073.95</v>
      </c>
      <c r="J1056">
        <v>3</v>
      </c>
      <c r="K1056">
        <v>885.98</v>
      </c>
    </row>
    <row r="1057" spans="1:11" x14ac:dyDescent="0.3">
      <c r="A1057" s="1">
        <v>45017</v>
      </c>
      <c r="B1057" t="s">
        <v>11</v>
      </c>
      <c r="C1057" t="s">
        <v>29</v>
      </c>
      <c r="D1057" t="s">
        <v>19</v>
      </c>
      <c r="E1057" t="s">
        <v>14</v>
      </c>
      <c r="F1057" t="s">
        <v>26</v>
      </c>
      <c r="G1057">
        <v>80.23</v>
      </c>
      <c r="H1057">
        <v>5</v>
      </c>
      <c r="I1057">
        <v>454.44</v>
      </c>
      <c r="J1057">
        <v>2</v>
      </c>
      <c r="K1057">
        <v>361.34</v>
      </c>
    </row>
    <row r="1058" spans="1:11" x14ac:dyDescent="0.3">
      <c r="A1058" s="1">
        <v>45107</v>
      </c>
      <c r="B1058" t="s">
        <v>17</v>
      </c>
      <c r="C1058" t="s">
        <v>29</v>
      </c>
      <c r="D1058" t="s">
        <v>25</v>
      </c>
      <c r="E1058" t="s">
        <v>14</v>
      </c>
      <c r="F1058" t="s">
        <v>22</v>
      </c>
      <c r="G1058">
        <v>164.37</v>
      </c>
      <c r="H1058">
        <v>1</v>
      </c>
      <c r="I1058">
        <v>70.010000000000005</v>
      </c>
      <c r="J1058">
        <v>0</v>
      </c>
      <c r="K1058">
        <v>-94.36</v>
      </c>
    </row>
    <row r="1059" spans="1:11" x14ac:dyDescent="0.3">
      <c r="A1059" s="1">
        <v>45146</v>
      </c>
      <c r="B1059" t="s">
        <v>17</v>
      </c>
      <c r="C1059" t="s">
        <v>12</v>
      </c>
      <c r="D1059" t="s">
        <v>19</v>
      </c>
      <c r="E1059" t="s">
        <v>20</v>
      </c>
      <c r="F1059" t="s">
        <v>22</v>
      </c>
      <c r="G1059">
        <v>196.76</v>
      </c>
      <c r="H1059">
        <v>5</v>
      </c>
      <c r="I1059">
        <v>384.58</v>
      </c>
      <c r="J1059">
        <v>0</v>
      </c>
      <c r="K1059">
        <v>187.82</v>
      </c>
    </row>
    <row r="1060" spans="1:11" x14ac:dyDescent="0.3">
      <c r="A1060" s="1">
        <v>45173</v>
      </c>
      <c r="B1060" t="s">
        <v>23</v>
      </c>
      <c r="C1060" t="s">
        <v>12</v>
      </c>
      <c r="D1060" t="s">
        <v>19</v>
      </c>
      <c r="E1060" t="s">
        <v>20</v>
      </c>
      <c r="F1060" t="s">
        <v>16</v>
      </c>
      <c r="G1060">
        <v>110.52</v>
      </c>
      <c r="H1060">
        <v>15</v>
      </c>
      <c r="I1060">
        <v>1385.93</v>
      </c>
      <c r="J1060">
        <v>0</v>
      </c>
      <c r="K1060">
        <v>1275.4100000000001</v>
      </c>
    </row>
    <row r="1061" spans="1:11" x14ac:dyDescent="0.3">
      <c r="A1061" s="1">
        <v>45085</v>
      </c>
      <c r="B1061" t="s">
        <v>17</v>
      </c>
      <c r="C1061" t="s">
        <v>24</v>
      </c>
      <c r="D1061" t="s">
        <v>28</v>
      </c>
      <c r="E1061" t="s">
        <v>14</v>
      </c>
      <c r="F1061" t="s">
        <v>16</v>
      </c>
      <c r="G1061">
        <v>120.54</v>
      </c>
      <c r="H1061">
        <v>1</v>
      </c>
      <c r="I1061">
        <v>81.34</v>
      </c>
      <c r="J1061">
        <v>0</v>
      </c>
      <c r="K1061">
        <v>-39.200000000000003</v>
      </c>
    </row>
    <row r="1062" spans="1:11" x14ac:dyDescent="0.3">
      <c r="A1062" s="1">
        <v>44936</v>
      </c>
      <c r="B1062" t="s">
        <v>21</v>
      </c>
      <c r="C1062" t="s">
        <v>24</v>
      </c>
      <c r="D1062" t="s">
        <v>28</v>
      </c>
      <c r="E1062" t="s">
        <v>20</v>
      </c>
      <c r="F1062" t="s">
        <v>26</v>
      </c>
      <c r="G1062">
        <v>73.459999999999994</v>
      </c>
      <c r="H1062">
        <v>7</v>
      </c>
      <c r="I1062">
        <v>81.47</v>
      </c>
      <c r="J1062">
        <v>0</v>
      </c>
      <c r="K1062">
        <v>8.01</v>
      </c>
    </row>
    <row r="1063" spans="1:11" x14ac:dyDescent="0.3">
      <c r="A1063" s="1">
        <v>45141</v>
      </c>
      <c r="B1063" t="s">
        <v>17</v>
      </c>
      <c r="C1063" t="s">
        <v>24</v>
      </c>
      <c r="D1063" t="s">
        <v>13</v>
      </c>
      <c r="E1063" t="s">
        <v>14</v>
      </c>
      <c r="F1063" t="s">
        <v>26</v>
      </c>
      <c r="G1063">
        <v>160.22999999999999</v>
      </c>
      <c r="H1063">
        <v>7</v>
      </c>
      <c r="I1063">
        <v>466.51</v>
      </c>
      <c r="J1063">
        <v>1</v>
      </c>
      <c r="K1063">
        <v>300.14</v>
      </c>
    </row>
    <row r="1064" spans="1:11" x14ac:dyDescent="0.3">
      <c r="A1064" s="1">
        <v>45019</v>
      </c>
      <c r="B1064" t="s">
        <v>11</v>
      </c>
      <c r="C1064" t="s">
        <v>18</v>
      </c>
      <c r="D1064" t="s">
        <v>25</v>
      </c>
      <c r="E1064" t="s">
        <v>14</v>
      </c>
      <c r="F1064" t="s">
        <v>26</v>
      </c>
      <c r="G1064">
        <v>84.76</v>
      </c>
      <c r="H1064">
        <v>6</v>
      </c>
      <c r="I1064">
        <v>487.01</v>
      </c>
      <c r="J1064">
        <v>0</v>
      </c>
      <c r="K1064">
        <v>402.25</v>
      </c>
    </row>
    <row r="1065" spans="1:11" x14ac:dyDescent="0.3">
      <c r="A1065" s="1">
        <v>45206</v>
      </c>
      <c r="B1065" t="s">
        <v>23</v>
      </c>
      <c r="C1065" t="s">
        <v>18</v>
      </c>
      <c r="D1065" t="s">
        <v>19</v>
      </c>
      <c r="E1065" t="s">
        <v>14</v>
      </c>
      <c r="F1065" t="s">
        <v>16</v>
      </c>
      <c r="G1065">
        <v>19.7</v>
      </c>
      <c r="H1065">
        <v>18</v>
      </c>
      <c r="I1065">
        <v>1527.2</v>
      </c>
      <c r="J1065">
        <v>2</v>
      </c>
      <c r="K1065">
        <v>1469.16</v>
      </c>
    </row>
    <row r="1066" spans="1:11" x14ac:dyDescent="0.3">
      <c r="A1066" s="1">
        <v>45032</v>
      </c>
      <c r="B1066" t="s">
        <v>11</v>
      </c>
      <c r="C1066" t="s">
        <v>24</v>
      </c>
      <c r="D1066" t="s">
        <v>27</v>
      </c>
      <c r="E1066" t="s">
        <v>20</v>
      </c>
      <c r="F1066" t="s">
        <v>15</v>
      </c>
      <c r="G1066">
        <v>107.25</v>
      </c>
      <c r="H1066">
        <v>12</v>
      </c>
      <c r="I1066">
        <v>460.71</v>
      </c>
      <c r="J1066">
        <v>0</v>
      </c>
      <c r="K1066">
        <v>353.46</v>
      </c>
    </row>
    <row r="1067" spans="1:11" x14ac:dyDescent="0.3">
      <c r="A1067" s="1">
        <v>44990</v>
      </c>
      <c r="B1067" t="s">
        <v>11</v>
      </c>
      <c r="C1067" t="s">
        <v>24</v>
      </c>
      <c r="D1067" t="s">
        <v>13</v>
      </c>
      <c r="E1067" t="s">
        <v>14</v>
      </c>
      <c r="F1067" t="s">
        <v>16</v>
      </c>
      <c r="G1067">
        <v>49.74</v>
      </c>
      <c r="H1067">
        <v>2</v>
      </c>
      <c r="I1067">
        <v>49.96</v>
      </c>
      <c r="J1067">
        <v>0</v>
      </c>
      <c r="K1067">
        <v>0.22</v>
      </c>
    </row>
    <row r="1068" spans="1:11" x14ac:dyDescent="0.3">
      <c r="A1068" s="1">
        <v>45121</v>
      </c>
      <c r="B1068" t="s">
        <v>17</v>
      </c>
      <c r="C1068" t="s">
        <v>12</v>
      </c>
      <c r="D1068" t="s">
        <v>28</v>
      </c>
      <c r="E1068" t="s">
        <v>20</v>
      </c>
      <c r="F1068" t="s">
        <v>16</v>
      </c>
      <c r="G1068">
        <v>86.36</v>
      </c>
      <c r="H1068">
        <v>20</v>
      </c>
      <c r="I1068">
        <v>1170.55</v>
      </c>
      <c r="J1068">
        <v>0</v>
      </c>
      <c r="K1068">
        <v>1084.19</v>
      </c>
    </row>
    <row r="1069" spans="1:11" x14ac:dyDescent="0.3">
      <c r="A1069" s="1">
        <v>45209</v>
      </c>
      <c r="B1069" t="s">
        <v>23</v>
      </c>
      <c r="C1069" t="s">
        <v>29</v>
      </c>
      <c r="D1069" t="s">
        <v>13</v>
      </c>
      <c r="E1069" t="s">
        <v>20</v>
      </c>
      <c r="F1069" t="s">
        <v>22</v>
      </c>
      <c r="G1069">
        <v>179.86</v>
      </c>
      <c r="H1069">
        <v>3</v>
      </c>
      <c r="I1069">
        <v>291.31</v>
      </c>
      <c r="J1069">
        <v>3</v>
      </c>
      <c r="K1069">
        <v>18.16</v>
      </c>
    </row>
    <row r="1070" spans="1:11" x14ac:dyDescent="0.3">
      <c r="A1070" s="1">
        <v>45018</v>
      </c>
      <c r="B1070" t="s">
        <v>11</v>
      </c>
      <c r="C1070" t="s">
        <v>24</v>
      </c>
      <c r="D1070" t="s">
        <v>27</v>
      </c>
      <c r="E1070" t="s">
        <v>14</v>
      </c>
      <c r="F1070" t="s">
        <v>26</v>
      </c>
      <c r="G1070">
        <v>157.65</v>
      </c>
      <c r="H1070">
        <v>4</v>
      </c>
      <c r="I1070">
        <v>89.13</v>
      </c>
      <c r="J1070">
        <v>1</v>
      </c>
      <c r="K1070">
        <v>-82.91</v>
      </c>
    </row>
    <row r="1071" spans="1:11" x14ac:dyDescent="0.3">
      <c r="A1071" s="1">
        <v>45239</v>
      </c>
      <c r="B1071" t="s">
        <v>23</v>
      </c>
      <c r="C1071" t="s">
        <v>29</v>
      </c>
      <c r="D1071" t="s">
        <v>27</v>
      </c>
      <c r="E1071" t="s">
        <v>14</v>
      </c>
      <c r="F1071" t="s">
        <v>26</v>
      </c>
      <c r="G1071">
        <v>105.49</v>
      </c>
      <c r="H1071">
        <v>10</v>
      </c>
      <c r="I1071">
        <v>130.19999999999999</v>
      </c>
      <c r="J1071">
        <v>1</v>
      </c>
      <c r="K1071">
        <v>0.88</v>
      </c>
    </row>
    <row r="1072" spans="1:11" x14ac:dyDescent="0.3">
      <c r="A1072" s="1">
        <v>45194</v>
      </c>
      <c r="B1072" t="s">
        <v>23</v>
      </c>
      <c r="C1072" t="s">
        <v>12</v>
      </c>
      <c r="D1072" t="s">
        <v>13</v>
      </c>
      <c r="E1072" t="s">
        <v>14</v>
      </c>
      <c r="F1072" t="s">
        <v>22</v>
      </c>
      <c r="G1072">
        <v>69.760000000000005</v>
      </c>
      <c r="H1072">
        <v>6</v>
      </c>
      <c r="I1072">
        <v>227.3</v>
      </c>
      <c r="J1072">
        <v>0</v>
      </c>
      <c r="K1072">
        <v>157.54</v>
      </c>
    </row>
    <row r="1073" spans="1:11" x14ac:dyDescent="0.3">
      <c r="A1073" s="1">
        <v>45131</v>
      </c>
      <c r="B1073" t="s">
        <v>17</v>
      </c>
      <c r="C1073" t="s">
        <v>18</v>
      </c>
      <c r="D1073" t="s">
        <v>27</v>
      </c>
      <c r="E1073" t="s">
        <v>20</v>
      </c>
      <c r="F1073" t="s">
        <v>16</v>
      </c>
      <c r="G1073">
        <v>146.52000000000001</v>
      </c>
      <c r="H1073">
        <v>7</v>
      </c>
      <c r="I1073">
        <v>408.67</v>
      </c>
      <c r="J1073">
        <v>1</v>
      </c>
      <c r="K1073">
        <v>213.99</v>
      </c>
    </row>
    <row r="1074" spans="1:11" x14ac:dyDescent="0.3">
      <c r="A1074" s="1">
        <v>45180</v>
      </c>
      <c r="B1074" t="s">
        <v>23</v>
      </c>
      <c r="C1074" t="s">
        <v>24</v>
      </c>
      <c r="D1074" t="s">
        <v>27</v>
      </c>
      <c r="E1074" t="s">
        <v>20</v>
      </c>
      <c r="F1074" t="s">
        <v>26</v>
      </c>
      <c r="G1074">
        <v>199.12</v>
      </c>
      <c r="H1074">
        <v>12</v>
      </c>
      <c r="I1074">
        <v>809.75</v>
      </c>
      <c r="J1074">
        <v>1</v>
      </c>
      <c r="K1074">
        <v>594.83000000000004</v>
      </c>
    </row>
    <row r="1075" spans="1:11" x14ac:dyDescent="0.3">
      <c r="A1075" s="1">
        <v>44945</v>
      </c>
      <c r="B1075" t="s">
        <v>21</v>
      </c>
      <c r="C1075" t="s">
        <v>18</v>
      </c>
      <c r="D1075" t="s">
        <v>28</v>
      </c>
      <c r="E1075" t="s">
        <v>14</v>
      </c>
      <c r="F1075" t="s">
        <v>15</v>
      </c>
      <c r="G1075">
        <v>141.80000000000001</v>
      </c>
      <c r="H1075">
        <v>16</v>
      </c>
      <c r="I1075">
        <v>1155.42</v>
      </c>
      <c r="J1075">
        <v>2</v>
      </c>
      <c r="K1075">
        <v>932.68</v>
      </c>
    </row>
    <row r="1076" spans="1:11" x14ac:dyDescent="0.3">
      <c r="A1076" s="1">
        <v>44933</v>
      </c>
      <c r="B1076" t="s">
        <v>21</v>
      </c>
      <c r="C1076" t="s">
        <v>12</v>
      </c>
      <c r="D1076" t="s">
        <v>28</v>
      </c>
      <c r="E1076" t="s">
        <v>14</v>
      </c>
      <c r="F1076" t="s">
        <v>26</v>
      </c>
      <c r="G1076">
        <v>96.25</v>
      </c>
      <c r="H1076">
        <v>9</v>
      </c>
      <c r="I1076">
        <v>494.47</v>
      </c>
      <c r="J1076">
        <v>3</v>
      </c>
      <c r="K1076">
        <v>355.62</v>
      </c>
    </row>
    <row r="1077" spans="1:11" x14ac:dyDescent="0.3">
      <c r="A1077" s="1">
        <v>45031</v>
      </c>
      <c r="B1077" t="s">
        <v>11</v>
      </c>
      <c r="C1077" t="s">
        <v>18</v>
      </c>
      <c r="D1077" t="s">
        <v>19</v>
      </c>
      <c r="E1077" t="s">
        <v>14</v>
      </c>
      <c r="F1077" t="s">
        <v>15</v>
      </c>
      <c r="G1077">
        <v>161.77000000000001</v>
      </c>
      <c r="H1077">
        <v>3</v>
      </c>
      <c r="I1077">
        <v>187.68</v>
      </c>
      <c r="J1077">
        <v>0</v>
      </c>
      <c r="K1077">
        <v>25.91</v>
      </c>
    </row>
    <row r="1078" spans="1:11" x14ac:dyDescent="0.3">
      <c r="A1078" s="1">
        <v>45244</v>
      </c>
      <c r="B1078" t="s">
        <v>23</v>
      </c>
      <c r="C1078" t="s">
        <v>24</v>
      </c>
      <c r="D1078" t="s">
        <v>25</v>
      </c>
      <c r="E1078" t="s">
        <v>14</v>
      </c>
      <c r="F1078" t="s">
        <v>15</v>
      </c>
      <c r="G1078">
        <v>39.020000000000003</v>
      </c>
      <c r="H1078">
        <v>18</v>
      </c>
      <c r="I1078">
        <v>598.65</v>
      </c>
      <c r="J1078">
        <v>1</v>
      </c>
      <c r="K1078">
        <v>516.67999999999995</v>
      </c>
    </row>
    <row r="1079" spans="1:11" x14ac:dyDescent="0.3">
      <c r="A1079" s="1">
        <v>45115</v>
      </c>
      <c r="B1079" t="s">
        <v>17</v>
      </c>
      <c r="C1079" t="s">
        <v>18</v>
      </c>
      <c r="D1079" t="s">
        <v>28</v>
      </c>
      <c r="E1079" t="s">
        <v>14</v>
      </c>
      <c r="F1079" t="s">
        <v>16</v>
      </c>
      <c r="G1079">
        <v>160.9</v>
      </c>
      <c r="H1079">
        <v>5</v>
      </c>
      <c r="I1079">
        <v>214.99</v>
      </c>
      <c r="J1079">
        <v>0</v>
      </c>
      <c r="K1079">
        <v>54.09</v>
      </c>
    </row>
    <row r="1080" spans="1:11" x14ac:dyDescent="0.3">
      <c r="A1080" s="1">
        <v>45049</v>
      </c>
      <c r="B1080" t="s">
        <v>11</v>
      </c>
      <c r="C1080" t="s">
        <v>24</v>
      </c>
      <c r="D1080" t="s">
        <v>19</v>
      </c>
      <c r="E1080" t="s">
        <v>14</v>
      </c>
      <c r="F1080" t="s">
        <v>22</v>
      </c>
      <c r="G1080">
        <v>154.53</v>
      </c>
      <c r="H1080">
        <v>17</v>
      </c>
      <c r="I1080">
        <v>952.97</v>
      </c>
      <c r="J1080">
        <v>2</v>
      </c>
      <c r="K1080">
        <v>775.43</v>
      </c>
    </row>
    <row r="1081" spans="1:11" x14ac:dyDescent="0.3">
      <c r="A1081" s="1">
        <v>44995</v>
      </c>
      <c r="B1081" t="s">
        <v>11</v>
      </c>
      <c r="C1081" t="s">
        <v>18</v>
      </c>
      <c r="D1081" t="s">
        <v>19</v>
      </c>
      <c r="E1081" t="s">
        <v>14</v>
      </c>
      <c r="F1081" t="s">
        <v>16</v>
      </c>
      <c r="G1081">
        <v>73.459999999999994</v>
      </c>
      <c r="H1081">
        <v>6</v>
      </c>
      <c r="I1081">
        <v>484.32</v>
      </c>
      <c r="J1081">
        <v>1</v>
      </c>
      <c r="K1081">
        <v>365.92</v>
      </c>
    </row>
    <row r="1082" spans="1:11" x14ac:dyDescent="0.3">
      <c r="A1082" s="1">
        <v>45222</v>
      </c>
      <c r="B1082" t="s">
        <v>23</v>
      </c>
      <c r="C1082" t="s">
        <v>29</v>
      </c>
      <c r="D1082" t="s">
        <v>19</v>
      </c>
      <c r="E1082" t="s">
        <v>20</v>
      </c>
      <c r="F1082" t="s">
        <v>16</v>
      </c>
      <c r="G1082">
        <v>187.23</v>
      </c>
      <c r="H1082">
        <v>9</v>
      </c>
      <c r="I1082">
        <v>92.47</v>
      </c>
      <c r="J1082">
        <v>1</v>
      </c>
      <c r="K1082">
        <v>-105.46</v>
      </c>
    </row>
    <row r="1083" spans="1:11" x14ac:dyDescent="0.3">
      <c r="A1083" s="1">
        <v>45138</v>
      </c>
      <c r="B1083" t="s">
        <v>17</v>
      </c>
      <c r="C1083" t="s">
        <v>24</v>
      </c>
      <c r="D1083" t="s">
        <v>27</v>
      </c>
      <c r="E1083" t="s">
        <v>14</v>
      </c>
      <c r="F1083" t="s">
        <v>22</v>
      </c>
      <c r="G1083">
        <v>118.7</v>
      </c>
      <c r="H1083">
        <v>20</v>
      </c>
      <c r="I1083">
        <v>658.67</v>
      </c>
      <c r="J1083">
        <v>0</v>
      </c>
      <c r="K1083">
        <v>539.97</v>
      </c>
    </row>
    <row r="1084" spans="1:11" x14ac:dyDescent="0.3">
      <c r="A1084" s="1">
        <v>44992</v>
      </c>
      <c r="B1084" t="s">
        <v>11</v>
      </c>
      <c r="C1084" t="s">
        <v>12</v>
      </c>
      <c r="D1084" t="s">
        <v>25</v>
      </c>
      <c r="E1084" t="s">
        <v>14</v>
      </c>
      <c r="F1084" t="s">
        <v>26</v>
      </c>
      <c r="G1084">
        <v>149.84</v>
      </c>
      <c r="H1084">
        <v>7</v>
      </c>
      <c r="I1084">
        <v>225.22</v>
      </c>
      <c r="J1084">
        <v>3</v>
      </c>
      <c r="K1084">
        <v>46.47</v>
      </c>
    </row>
    <row r="1085" spans="1:11" x14ac:dyDescent="0.3">
      <c r="A1085" s="1">
        <v>45207</v>
      </c>
      <c r="B1085" t="s">
        <v>23</v>
      </c>
      <c r="C1085" t="s">
        <v>24</v>
      </c>
      <c r="D1085" t="s">
        <v>25</v>
      </c>
      <c r="E1085" t="s">
        <v>14</v>
      </c>
      <c r="F1085" t="s">
        <v>22</v>
      </c>
      <c r="G1085">
        <v>106.34</v>
      </c>
      <c r="H1085">
        <v>1</v>
      </c>
      <c r="I1085">
        <v>17.239999999999998</v>
      </c>
      <c r="J1085">
        <v>1</v>
      </c>
      <c r="K1085">
        <v>-97.85</v>
      </c>
    </row>
    <row r="1086" spans="1:11" x14ac:dyDescent="0.3">
      <c r="A1086" s="1">
        <v>45278</v>
      </c>
      <c r="B1086" t="s">
        <v>21</v>
      </c>
      <c r="C1086" t="s">
        <v>24</v>
      </c>
      <c r="D1086" t="s">
        <v>28</v>
      </c>
      <c r="E1086" t="s">
        <v>20</v>
      </c>
      <c r="F1086" t="s">
        <v>16</v>
      </c>
      <c r="G1086">
        <v>10.42</v>
      </c>
      <c r="H1086">
        <v>7</v>
      </c>
      <c r="I1086">
        <v>662.37</v>
      </c>
      <c r="J1086">
        <v>0</v>
      </c>
      <c r="K1086">
        <v>651.95000000000005</v>
      </c>
    </row>
    <row r="1087" spans="1:11" x14ac:dyDescent="0.3">
      <c r="A1087" s="1">
        <v>44953</v>
      </c>
      <c r="B1087" t="s">
        <v>21</v>
      </c>
      <c r="C1087" t="s">
        <v>24</v>
      </c>
      <c r="D1087" t="s">
        <v>13</v>
      </c>
      <c r="E1087" t="s">
        <v>14</v>
      </c>
      <c r="F1087" t="s">
        <v>15</v>
      </c>
      <c r="G1087">
        <v>168.66</v>
      </c>
      <c r="H1087">
        <v>3</v>
      </c>
      <c r="I1087">
        <v>94.01</v>
      </c>
      <c r="J1087">
        <v>2</v>
      </c>
      <c r="K1087">
        <v>-160.87</v>
      </c>
    </row>
    <row r="1088" spans="1:11" x14ac:dyDescent="0.3">
      <c r="A1088" s="1">
        <v>45284</v>
      </c>
      <c r="B1088" t="s">
        <v>21</v>
      </c>
      <c r="C1088" t="s">
        <v>29</v>
      </c>
      <c r="D1088" t="s">
        <v>28</v>
      </c>
      <c r="E1088" t="s">
        <v>14</v>
      </c>
      <c r="F1088" t="s">
        <v>22</v>
      </c>
      <c r="G1088">
        <v>89.82</v>
      </c>
      <c r="H1088">
        <v>4</v>
      </c>
      <c r="I1088">
        <v>142.55000000000001</v>
      </c>
      <c r="J1088">
        <v>0</v>
      </c>
      <c r="K1088">
        <v>52.73</v>
      </c>
    </row>
    <row r="1089" spans="1:11" x14ac:dyDescent="0.3">
      <c r="A1089" s="1">
        <v>44977</v>
      </c>
      <c r="B1089" t="s">
        <v>21</v>
      </c>
      <c r="C1089" t="s">
        <v>24</v>
      </c>
      <c r="D1089" t="s">
        <v>28</v>
      </c>
      <c r="E1089" t="s">
        <v>14</v>
      </c>
      <c r="F1089" t="s">
        <v>26</v>
      </c>
      <c r="G1089">
        <v>93.3</v>
      </c>
      <c r="H1089">
        <v>11</v>
      </c>
      <c r="I1089">
        <v>804.83</v>
      </c>
      <c r="J1089">
        <v>0</v>
      </c>
      <c r="K1089">
        <v>711.53</v>
      </c>
    </row>
    <row r="1090" spans="1:11" x14ac:dyDescent="0.3">
      <c r="A1090" s="1">
        <v>45107</v>
      </c>
      <c r="B1090" t="s">
        <v>17</v>
      </c>
      <c r="C1090" t="s">
        <v>29</v>
      </c>
      <c r="D1090" t="s">
        <v>25</v>
      </c>
      <c r="E1090" t="s">
        <v>14</v>
      </c>
      <c r="F1090" t="s">
        <v>16</v>
      </c>
      <c r="G1090">
        <v>120.2</v>
      </c>
      <c r="H1090">
        <v>2</v>
      </c>
      <c r="I1090">
        <v>112.1</v>
      </c>
      <c r="J1090">
        <v>2</v>
      </c>
      <c r="K1090">
        <v>-48.79</v>
      </c>
    </row>
    <row r="1091" spans="1:11" x14ac:dyDescent="0.3">
      <c r="A1091" s="1">
        <v>45224</v>
      </c>
      <c r="B1091" t="s">
        <v>23</v>
      </c>
      <c r="C1091" t="s">
        <v>12</v>
      </c>
      <c r="D1091" t="s">
        <v>25</v>
      </c>
      <c r="E1091" t="s">
        <v>14</v>
      </c>
      <c r="F1091" t="s">
        <v>22</v>
      </c>
      <c r="G1091">
        <v>90.19</v>
      </c>
      <c r="H1091">
        <v>17</v>
      </c>
      <c r="I1091">
        <v>626.24</v>
      </c>
      <c r="J1091">
        <v>1</v>
      </c>
      <c r="K1091">
        <v>516.20000000000005</v>
      </c>
    </row>
    <row r="1092" spans="1:11" x14ac:dyDescent="0.3">
      <c r="A1092" s="1">
        <v>45164</v>
      </c>
      <c r="B1092" t="s">
        <v>17</v>
      </c>
      <c r="C1092" t="s">
        <v>12</v>
      </c>
      <c r="D1092" t="s">
        <v>27</v>
      </c>
      <c r="E1092" t="s">
        <v>20</v>
      </c>
      <c r="F1092" t="s">
        <v>15</v>
      </c>
      <c r="G1092">
        <v>60</v>
      </c>
      <c r="H1092">
        <v>2</v>
      </c>
      <c r="I1092">
        <v>140.81</v>
      </c>
      <c r="J1092">
        <v>1</v>
      </c>
      <c r="K1092">
        <v>49.85</v>
      </c>
    </row>
    <row r="1093" spans="1:11" x14ac:dyDescent="0.3">
      <c r="A1093" s="1">
        <v>45060</v>
      </c>
      <c r="B1093" t="s">
        <v>11</v>
      </c>
      <c r="C1093" t="s">
        <v>18</v>
      </c>
      <c r="D1093" t="s">
        <v>25</v>
      </c>
      <c r="E1093" t="s">
        <v>14</v>
      </c>
      <c r="F1093" t="s">
        <v>15</v>
      </c>
      <c r="G1093">
        <v>136.25</v>
      </c>
      <c r="H1093">
        <v>15</v>
      </c>
      <c r="I1093">
        <v>533.61</v>
      </c>
      <c r="J1093">
        <v>3</v>
      </c>
      <c r="K1093">
        <v>299.41000000000003</v>
      </c>
    </row>
    <row r="1094" spans="1:11" x14ac:dyDescent="0.3">
      <c r="A1094" s="1">
        <v>45092</v>
      </c>
      <c r="B1094" t="s">
        <v>17</v>
      </c>
      <c r="C1094" t="s">
        <v>29</v>
      </c>
      <c r="D1094" t="s">
        <v>27</v>
      </c>
      <c r="E1094" t="s">
        <v>14</v>
      </c>
      <c r="F1094" t="s">
        <v>26</v>
      </c>
      <c r="G1094">
        <v>109.67</v>
      </c>
      <c r="H1094">
        <v>5</v>
      </c>
      <c r="I1094">
        <v>130.22999999999999</v>
      </c>
      <c r="J1094">
        <v>1</v>
      </c>
      <c r="K1094">
        <v>-2.27</v>
      </c>
    </row>
    <row r="1095" spans="1:11" x14ac:dyDescent="0.3">
      <c r="A1095" s="1">
        <v>45244</v>
      </c>
      <c r="B1095" t="s">
        <v>23</v>
      </c>
      <c r="C1095" t="s">
        <v>12</v>
      </c>
      <c r="D1095" t="s">
        <v>13</v>
      </c>
      <c r="E1095" t="s">
        <v>14</v>
      </c>
      <c r="F1095" t="s">
        <v>15</v>
      </c>
      <c r="G1095">
        <v>199.85</v>
      </c>
      <c r="H1095">
        <v>2</v>
      </c>
      <c r="I1095">
        <v>27.68</v>
      </c>
      <c r="J1095">
        <v>0</v>
      </c>
      <c r="K1095">
        <v>-172.17</v>
      </c>
    </row>
    <row r="1096" spans="1:11" x14ac:dyDescent="0.3">
      <c r="A1096" s="1">
        <v>44988</v>
      </c>
      <c r="B1096" t="s">
        <v>11</v>
      </c>
      <c r="C1096" t="s">
        <v>24</v>
      </c>
      <c r="D1096" t="s">
        <v>25</v>
      </c>
      <c r="E1096" t="s">
        <v>20</v>
      </c>
      <c r="F1096" t="s">
        <v>26</v>
      </c>
      <c r="G1096">
        <v>124.77</v>
      </c>
      <c r="H1096">
        <v>16</v>
      </c>
      <c r="I1096">
        <v>1213.67</v>
      </c>
      <c r="J1096">
        <v>0</v>
      </c>
      <c r="K1096">
        <v>1088.9000000000001</v>
      </c>
    </row>
    <row r="1097" spans="1:11" x14ac:dyDescent="0.3">
      <c r="A1097" s="1">
        <v>45020</v>
      </c>
      <c r="B1097" t="s">
        <v>11</v>
      </c>
      <c r="C1097" t="s">
        <v>29</v>
      </c>
      <c r="D1097" t="s">
        <v>13</v>
      </c>
      <c r="E1097" t="s">
        <v>20</v>
      </c>
      <c r="F1097" t="s">
        <v>15</v>
      </c>
      <c r="G1097">
        <v>169.99</v>
      </c>
      <c r="H1097">
        <v>8</v>
      </c>
      <c r="I1097">
        <v>365.71</v>
      </c>
      <c r="J1097">
        <v>2</v>
      </c>
      <c r="K1097">
        <v>177.84</v>
      </c>
    </row>
    <row r="1098" spans="1:11" x14ac:dyDescent="0.3">
      <c r="A1098" s="1">
        <v>45088</v>
      </c>
      <c r="B1098" t="s">
        <v>17</v>
      </c>
      <c r="C1098" t="s">
        <v>18</v>
      </c>
      <c r="D1098" t="s">
        <v>19</v>
      </c>
      <c r="E1098" t="s">
        <v>20</v>
      </c>
      <c r="F1098" t="s">
        <v>22</v>
      </c>
      <c r="G1098">
        <v>191.4</v>
      </c>
      <c r="H1098">
        <v>14</v>
      </c>
      <c r="I1098">
        <v>1129.24</v>
      </c>
      <c r="J1098">
        <v>0</v>
      </c>
      <c r="K1098">
        <v>937.84</v>
      </c>
    </row>
    <row r="1099" spans="1:11" x14ac:dyDescent="0.3">
      <c r="A1099" s="1">
        <v>44940</v>
      </c>
      <c r="B1099" t="s">
        <v>21</v>
      </c>
      <c r="C1099" t="s">
        <v>18</v>
      </c>
      <c r="D1099" t="s">
        <v>27</v>
      </c>
      <c r="E1099" t="s">
        <v>20</v>
      </c>
      <c r="F1099" t="s">
        <v>15</v>
      </c>
      <c r="G1099">
        <v>10.210000000000001</v>
      </c>
      <c r="H1099">
        <v>15</v>
      </c>
      <c r="I1099">
        <v>1022.55</v>
      </c>
      <c r="J1099">
        <v>0</v>
      </c>
      <c r="K1099">
        <v>1012.34</v>
      </c>
    </row>
    <row r="1100" spans="1:11" x14ac:dyDescent="0.3">
      <c r="A1100" s="1">
        <v>45150</v>
      </c>
      <c r="B1100" t="s">
        <v>17</v>
      </c>
      <c r="C1100" t="s">
        <v>12</v>
      </c>
      <c r="D1100" t="s">
        <v>28</v>
      </c>
      <c r="E1100" t="s">
        <v>20</v>
      </c>
      <c r="F1100" t="s">
        <v>15</v>
      </c>
      <c r="G1100">
        <v>137.06</v>
      </c>
      <c r="H1100">
        <v>5</v>
      </c>
      <c r="I1100">
        <v>461.73</v>
      </c>
      <c r="J1100">
        <v>0</v>
      </c>
      <c r="K1100">
        <v>324.67</v>
      </c>
    </row>
    <row r="1101" spans="1:11" x14ac:dyDescent="0.3">
      <c r="A1101" s="1">
        <v>45186</v>
      </c>
      <c r="B1101" t="s">
        <v>23</v>
      </c>
      <c r="C1101" t="s">
        <v>18</v>
      </c>
      <c r="D1101" t="s">
        <v>28</v>
      </c>
      <c r="E1101" t="s">
        <v>20</v>
      </c>
      <c r="F1101" t="s">
        <v>15</v>
      </c>
      <c r="G1101">
        <v>96.62</v>
      </c>
      <c r="H1101">
        <v>2</v>
      </c>
      <c r="I1101">
        <v>40.42</v>
      </c>
      <c r="J1101">
        <v>1</v>
      </c>
      <c r="K1101">
        <v>-81.02</v>
      </c>
    </row>
    <row r="1102" spans="1:11" x14ac:dyDescent="0.3">
      <c r="A1102" s="1">
        <v>45064</v>
      </c>
      <c r="B1102" t="s">
        <v>11</v>
      </c>
      <c r="C1102" t="s">
        <v>18</v>
      </c>
      <c r="D1102" t="s">
        <v>13</v>
      </c>
      <c r="E1102" t="s">
        <v>20</v>
      </c>
      <c r="F1102" t="s">
        <v>22</v>
      </c>
      <c r="G1102">
        <v>179.72</v>
      </c>
      <c r="H1102">
        <v>3</v>
      </c>
      <c r="I1102">
        <v>278.99</v>
      </c>
      <c r="J1102">
        <v>1</v>
      </c>
      <c r="K1102">
        <v>60.61</v>
      </c>
    </row>
    <row r="1103" spans="1:11" x14ac:dyDescent="0.3">
      <c r="A1103" s="1">
        <v>45043</v>
      </c>
      <c r="B1103" t="s">
        <v>11</v>
      </c>
      <c r="C1103" t="s">
        <v>24</v>
      </c>
      <c r="D1103" t="s">
        <v>27</v>
      </c>
      <c r="E1103" t="s">
        <v>14</v>
      </c>
      <c r="F1103" t="s">
        <v>22</v>
      </c>
      <c r="G1103">
        <v>168.01</v>
      </c>
      <c r="H1103">
        <v>10</v>
      </c>
      <c r="I1103">
        <v>131.54</v>
      </c>
      <c r="J1103">
        <v>2</v>
      </c>
      <c r="K1103">
        <v>-54.87</v>
      </c>
    </row>
    <row r="1104" spans="1:11" x14ac:dyDescent="0.3">
      <c r="A1104" s="1">
        <v>45081</v>
      </c>
      <c r="B1104" t="s">
        <v>17</v>
      </c>
      <c r="C1104" t="s">
        <v>24</v>
      </c>
      <c r="D1104" t="s">
        <v>19</v>
      </c>
      <c r="E1104" t="s">
        <v>20</v>
      </c>
      <c r="F1104" t="s">
        <v>26</v>
      </c>
      <c r="G1104">
        <v>45.76</v>
      </c>
      <c r="H1104">
        <v>17</v>
      </c>
      <c r="I1104">
        <v>1077.58</v>
      </c>
      <c r="J1104">
        <v>2</v>
      </c>
      <c r="K1104">
        <v>1000.42</v>
      </c>
    </row>
    <row r="1105" spans="1:11" x14ac:dyDescent="0.3">
      <c r="A1105" s="1">
        <v>45165</v>
      </c>
      <c r="B1105" t="s">
        <v>17</v>
      </c>
      <c r="C1105" t="s">
        <v>29</v>
      </c>
      <c r="D1105" t="s">
        <v>19</v>
      </c>
      <c r="E1105" t="s">
        <v>14</v>
      </c>
      <c r="F1105" t="s">
        <v>15</v>
      </c>
      <c r="G1105">
        <v>96.91</v>
      </c>
      <c r="H1105">
        <v>13</v>
      </c>
      <c r="I1105">
        <v>1249.06</v>
      </c>
      <c r="J1105">
        <v>2</v>
      </c>
      <c r="K1105">
        <v>1122.45</v>
      </c>
    </row>
    <row r="1106" spans="1:11" x14ac:dyDescent="0.3">
      <c r="A1106" s="1">
        <v>45093</v>
      </c>
      <c r="B1106" t="s">
        <v>17</v>
      </c>
      <c r="C1106" t="s">
        <v>24</v>
      </c>
      <c r="D1106" t="s">
        <v>27</v>
      </c>
      <c r="E1106" t="s">
        <v>20</v>
      </c>
      <c r="F1106" t="s">
        <v>16</v>
      </c>
      <c r="G1106">
        <v>154.65</v>
      </c>
      <c r="H1106">
        <v>6</v>
      </c>
      <c r="I1106">
        <v>325.52</v>
      </c>
      <c r="J1106">
        <v>1</v>
      </c>
      <c r="K1106">
        <v>121.94</v>
      </c>
    </row>
    <row r="1107" spans="1:11" x14ac:dyDescent="0.3">
      <c r="A1107" s="1">
        <v>45030</v>
      </c>
      <c r="B1107" t="s">
        <v>11</v>
      </c>
      <c r="C1107" t="s">
        <v>29</v>
      </c>
      <c r="D1107" t="s">
        <v>13</v>
      </c>
      <c r="E1107" t="s">
        <v>20</v>
      </c>
      <c r="F1107" t="s">
        <v>22</v>
      </c>
      <c r="G1107">
        <v>168.83</v>
      </c>
      <c r="H1107">
        <v>10</v>
      </c>
      <c r="I1107">
        <v>513.77</v>
      </c>
      <c r="J1107">
        <v>1</v>
      </c>
      <c r="K1107">
        <v>296.67</v>
      </c>
    </row>
    <row r="1108" spans="1:11" x14ac:dyDescent="0.3">
      <c r="A1108" s="1">
        <v>45244</v>
      </c>
      <c r="B1108" t="s">
        <v>23</v>
      </c>
      <c r="C1108" t="s">
        <v>29</v>
      </c>
      <c r="D1108" t="s">
        <v>25</v>
      </c>
      <c r="E1108" t="s">
        <v>20</v>
      </c>
      <c r="F1108" t="s">
        <v>26</v>
      </c>
      <c r="G1108">
        <v>116.58</v>
      </c>
      <c r="H1108">
        <v>3</v>
      </c>
      <c r="I1108">
        <v>131.63999999999999</v>
      </c>
      <c r="J1108">
        <v>1</v>
      </c>
      <c r="K1108">
        <v>-21.99</v>
      </c>
    </row>
    <row r="1109" spans="1:11" x14ac:dyDescent="0.3">
      <c r="A1109" s="1">
        <v>45058</v>
      </c>
      <c r="B1109" t="s">
        <v>11</v>
      </c>
      <c r="C1109" t="s">
        <v>24</v>
      </c>
      <c r="D1109" t="s">
        <v>28</v>
      </c>
      <c r="E1109" t="s">
        <v>20</v>
      </c>
      <c r="F1109" t="s">
        <v>22</v>
      </c>
      <c r="G1109">
        <v>47.42</v>
      </c>
      <c r="H1109">
        <v>5</v>
      </c>
      <c r="I1109">
        <v>367.75</v>
      </c>
      <c r="J1109">
        <v>3</v>
      </c>
      <c r="K1109">
        <v>249.94</v>
      </c>
    </row>
    <row r="1110" spans="1:11" x14ac:dyDescent="0.3">
      <c r="A1110" s="1">
        <v>44986</v>
      </c>
      <c r="B1110" t="s">
        <v>11</v>
      </c>
      <c r="C1110" t="s">
        <v>18</v>
      </c>
      <c r="D1110" t="s">
        <v>28</v>
      </c>
      <c r="E1110" t="s">
        <v>20</v>
      </c>
      <c r="F1110" t="s">
        <v>22</v>
      </c>
      <c r="G1110">
        <v>79.13</v>
      </c>
      <c r="H1110">
        <v>10</v>
      </c>
      <c r="I1110">
        <v>543.97</v>
      </c>
      <c r="J1110">
        <v>2</v>
      </c>
      <c r="K1110">
        <v>379.87</v>
      </c>
    </row>
    <row r="1111" spans="1:11" x14ac:dyDescent="0.3">
      <c r="A1111" s="1">
        <v>45168</v>
      </c>
      <c r="B1111" t="s">
        <v>17</v>
      </c>
      <c r="C1111" t="s">
        <v>24</v>
      </c>
      <c r="D1111" t="s">
        <v>27</v>
      </c>
      <c r="E1111" t="s">
        <v>20</v>
      </c>
      <c r="F1111" t="s">
        <v>16</v>
      </c>
      <c r="G1111">
        <v>120.44</v>
      </c>
      <c r="H1111">
        <v>2</v>
      </c>
      <c r="I1111">
        <v>98.81</v>
      </c>
      <c r="J1111">
        <v>0</v>
      </c>
      <c r="K1111">
        <v>-21.63</v>
      </c>
    </row>
    <row r="1112" spans="1:11" x14ac:dyDescent="0.3">
      <c r="A1112" s="1">
        <v>45131</v>
      </c>
      <c r="B1112" t="s">
        <v>17</v>
      </c>
      <c r="C1112" t="s">
        <v>12</v>
      </c>
      <c r="D1112" t="s">
        <v>28</v>
      </c>
      <c r="E1112" t="s">
        <v>20</v>
      </c>
      <c r="F1112" t="s">
        <v>16</v>
      </c>
      <c r="G1112">
        <v>54.84</v>
      </c>
      <c r="H1112">
        <v>17</v>
      </c>
      <c r="I1112">
        <v>509.89</v>
      </c>
      <c r="J1112">
        <v>2</v>
      </c>
      <c r="K1112">
        <v>434</v>
      </c>
    </row>
    <row r="1113" spans="1:11" x14ac:dyDescent="0.3">
      <c r="A1113" s="1">
        <v>45234</v>
      </c>
      <c r="B1113" t="s">
        <v>23</v>
      </c>
      <c r="C1113" t="s">
        <v>12</v>
      </c>
      <c r="D1113" t="s">
        <v>19</v>
      </c>
      <c r="E1113" t="s">
        <v>20</v>
      </c>
      <c r="F1113" t="s">
        <v>16</v>
      </c>
      <c r="G1113">
        <v>197.49</v>
      </c>
      <c r="H1113">
        <v>9</v>
      </c>
      <c r="I1113">
        <v>884.03</v>
      </c>
      <c r="J1113">
        <v>2</v>
      </c>
      <c r="K1113">
        <v>612.75</v>
      </c>
    </row>
    <row r="1114" spans="1:11" x14ac:dyDescent="0.3">
      <c r="A1114" s="1">
        <v>45204</v>
      </c>
      <c r="B1114" t="s">
        <v>23</v>
      </c>
      <c r="C1114" t="s">
        <v>29</v>
      </c>
      <c r="D1114" t="s">
        <v>19</v>
      </c>
      <c r="E1114" t="s">
        <v>20</v>
      </c>
      <c r="F1114" t="s">
        <v>22</v>
      </c>
      <c r="G1114">
        <v>25.91</v>
      </c>
      <c r="H1114">
        <v>17</v>
      </c>
      <c r="I1114">
        <v>1139.71</v>
      </c>
      <c r="J1114">
        <v>1</v>
      </c>
      <c r="K1114">
        <v>1077.6400000000001</v>
      </c>
    </row>
    <row r="1115" spans="1:11" x14ac:dyDescent="0.3">
      <c r="A1115" s="1">
        <v>44965</v>
      </c>
      <c r="B1115" t="s">
        <v>21</v>
      </c>
      <c r="C1115" t="s">
        <v>18</v>
      </c>
      <c r="D1115" t="s">
        <v>27</v>
      </c>
      <c r="E1115" t="s">
        <v>14</v>
      </c>
      <c r="F1115" t="s">
        <v>22</v>
      </c>
      <c r="G1115">
        <v>167.62</v>
      </c>
      <c r="H1115">
        <v>14</v>
      </c>
      <c r="I1115">
        <v>169.73</v>
      </c>
      <c r="J1115">
        <v>1</v>
      </c>
      <c r="K1115">
        <v>-47.18</v>
      </c>
    </row>
    <row r="1116" spans="1:11" x14ac:dyDescent="0.3">
      <c r="A1116" s="1">
        <v>45191</v>
      </c>
      <c r="B1116" t="s">
        <v>23</v>
      </c>
      <c r="C1116" t="s">
        <v>12</v>
      </c>
      <c r="D1116" t="s">
        <v>25</v>
      </c>
      <c r="E1116" t="s">
        <v>14</v>
      </c>
      <c r="F1116" t="s">
        <v>16</v>
      </c>
      <c r="G1116">
        <v>74.52</v>
      </c>
      <c r="H1116">
        <v>6</v>
      </c>
      <c r="I1116">
        <v>462.35</v>
      </c>
      <c r="J1116">
        <v>0</v>
      </c>
      <c r="K1116">
        <v>387.83</v>
      </c>
    </row>
    <row r="1117" spans="1:11" x14ac:dyDescent="0.3">
      <c r="A1117" s="1">
        <v>44938</v>
      </c>
      <c r="B1117" t="s">
        <v>21</v>
      </c>
      <c r="C1117" t="s">
        <v>29</v>
      </c>
      <c r="D1117" t="s">
        <v>28</v>
      </c>
      <c r="E1117" t="s">
        <v>20</v>
      </c>
      <c r="F1117" t="s">
        <v>15</v>
      </c>
      <c r="G1117">
        <v>39.909999999999997</v>
      </c>
      <c r="H1117">
        <v>2</v>
      </c>
      <c r="I1117">
        <v>95.51</v>
      </c>
      <c r="J1117">
        <v>1</v>
      </c>
      <c r="K1117">
        <v>11.16</v>
      </c>
    </row>
    <row r="1118" spans="1:11" x14ac:dyDescent="0.3">
      <c r="A1118" s="1">
        <v>45115</v>
      </c>
      <c r="B1118" t="s">
        <v>17</v>
      </c>
      <c r="C1118" t="s">
        <v>29</v>
      </c>
      <c r="D1118" t="s">
        <v>28</v>
      </c>
      <c r="E1118" t="s">
        <v>14</v>
      </c>
      <c r="F1118" t="s">
        <v>15</v>
      </c>
      <c r="G1118">
        <v>150.68</v>
      </c>
      <c r="H1118">
        <v>19</v>
      </c>
      <c r="I1118">
        <v>831.65</v>
      </c>
      <c r="J1118">
        <v>2</v>
      </c>
      <c r="K1118">
        <v>646.05999999999995</v>
      </c>
    </row>
    <row r="1119" spans="1:11" x14ac:dyDescent="0.3">
      <c r="A1119" s="1">
        <v>45232</v>
      </c>
      <c r="B1119" t="s">
        <v>23</v>
      </c>
      <c r="C1119" t="s">
        <v>24</v>
      </c>
      <c r="D1119" t="s">
        <v>25</v>
      </c>
      <c r="E1119" t="s">
        <v>20</v>
      </c>
      <c r="F1119" t="s">
        <v>26</v>
      </c>
      <c r="G1119">
        <v>57.16</v>
      </c>
      <c r="H1119">
        <v>12</v>
      </c>
      <c r="I1119">
        <v>687.48</v>
      </c>
      <c r="J1119">
        <v>0</v>
      </c>
      <c r="K1119">
        <v>630.32000000000005</v>
      </c>
    </row>
    <row r="1120" spans="1:11" x14ac:dyDescent="0.3">
      <c r="A1120" s="1">
        <v>45031</v>
      </c>
      <c r="B1120" t="s">
        <v>11</v>
      </c>
      <c r="C1120" t="s">
        <v>29</v>
      </c>
      <c r="D1120" t="s">
        <v>25</v>
      </c>
      <c r="E1120" t="s">
        <v>14</v>
      </c>
      <c r="F1120" t="s">
        <v>15</v>
      </c>
      <c r="G1120">
        <v>186.99</v>
      </c>
      <c r="H1120">
        <v>17</v>
      </c>
      <c r="I1120">
        <v>1192.9000000000001</v>
      </c>
      <c r="J1120">
        <v>2</v>
      </c>
      <c r="K1120">
        <v>933.84</v>
      </c>
    </row>
    <row r="1121" spans="1:11" x14ac:dyDescent="0.3">
      <c r="A1121" s="1">
        <v>45270</v>
      </c>
      <c r="B1121" t="s">
        <v>21</v>
      </c>
      <c r="C1121" t="s">
        <v>24</v>
      </c>
      <c r="D1121" t="s">
        <v>13</v>
      </c>
      <c r="E1121" t="s">
        <v>14</v>
      </c>
      <c r="F1121" t="s">
        <v>26</v>
      </c>
      <c r="G1121">
        <v>40.6</v>
      </c>
      <c r="H1121">
        <v>10</v>
      </c>
      <c r="I1121">
        <v>736.92</v>
      </c>
      <c r="J1121">
        <v>0</v>
      </c>
      <c r="K1121">
        <v>696.32</v>
      </c>
    </row>
    <row r="1122" spans="1:11" x14ac:dyDescent="0.3">
      <c r="A1122" s="1">
        <v>45275</v>
      </c>
      <c r="B1122" t="s">
        <v>21</v>
      </c>
      <c r="C1122" t="s">
        <v>29</v>
      </c>
      <c r="D1122" t="s">
        <v>27</v>
      </c>
      <c r="E1122" t="s">
        <v>20</v>
      </c>
      <c r="F1122" t="s">
        <v>26</v>
      </c>
      <c r="G1122">
        <v>122.25</v>
      </c>
      <c r="H1122">
        <v>10</v>
      </c>
      <c r="I1122">
        <v>596.09</v>
      </c>
      <c r="J1122">
        <v>0</v>
      </c>
      <c r="K1122">
        <v>473.84</v>
      </c>
    </row>
    <row r="1123" spans="1:11" x14ac:dyDescent="0.3">
      <c r="A1123" s="1">
        <v>44996</v>
      </c>
      <c r="B1123" t="s">
        <v>11</v>
      </c>
      <c r="C1123" t="s">
        <v>24</v>
      </c>
      <c r="D1123" t="s">
        <v>19</v>
      </c>
      <c r="E1123" t="s">
        <v>14</v>
      </c>
      <c r="F1123" t="s">
        <v>15</v>
      </c>
      <c r="G1123">
        <v>80.03</v>
      </c>
      <c r="H1123">
        <v>5</v>
      </c>
      <c r="I1123">
        <v>165</v>
      </c>
      <c r="J1123">
        <v>3</v>
      </c>
      <c r="K1123">
        <v>16.98</v>
      </c>
    </row>
    <row r="1124" spans="1:11" x14ac:dyDescent="0.3">
      <c r="A1124" s="1">
        <v>45279</v>
      </c>
      <c r="B1124" t="s">
        <v>21</v>
      </c>
      <c r="C1124" t="s">
        <v>29</v>
      </c>
      <c r="D1124" t="s">
        <v>28</v>
      </c>
      <c r="E1124" t="s">
        <v>20</v>
      </c>
      <c r="F1124" t="s">
        <v>26</v>
      </c>
      <c r="G1124">
        <v>62.49</v>
      </c>
      <c r="H1124">
        <v>17</v>
      </c>
      <c r="I1124">
        <v>1002.89</v>
      </c>
      <c r="J1124">
        <v>0</v>
      </c>
      <c r="K1124">
        <v>940.4</v>
      </c>
    </row>
    <row r="1125" spans="1:11" x14ac:dyDescent="0.3">
      <c r="A1125" s="1">
        <v>45178</v>
      </c>
      <c r="B1125" t="s">
        <v>23</v>
      </c>
      <c r="C1125" t="s">
        <v>18</v>
      </c>
      <c r="D1125" t="s">
        <v>19</v>
      </c>
      <c r="E1125" t="s">
        <v>14</v>
      </c>
      <c r="F1125" t="s">
        <v>16</v>
      </c>
      <c r="G1125">
        <v>92.39</v>
      </c>
      <c r="H1125">
        <v>10</v>
      </c>
      <c r="I1125">
        <v>746.21</v>
      </c>
      <c r="J1125">
        <v>2</v>
      </c>
      <c r="K1125">
        <v>613.79999999999995</v>
      </c>
    </row>
    <row r="1126" spans="1:11" x14ac:dyDescent="0.3">
      <c r="A1126" s="1">
        <v>45100</v>
      </c>
      <c r="B1126" t="s">
        <v>17</v>
      </c>
      <c r="C1126" t="s">
        <v>12</v>
      </c>
      <c r="D1126" t="s">
        <v>27</v>
      </c>
      <c r="E1126" t="s">
        <v>14</v>
      </c>
      <c r="F1126" t="s">
        <v>16</v>
      </c>
      <c r="G1126">
        <v>182.03</v>
      </c>
      <c r="H1126">
        <v>10</v>
      </c>
      <c r="I1126">
        <v>431.02</v>
      </c>
      <c r="J1126">
        <v>3</v>
      </c>
      <c r="K1126">
        <v>163.4</v>
      </c>
    </row>
    <row r="1127" spans="1:11" x14ac:dyDescent="0.3">
      <c r="A1127" s="1">
        <v>44956</v>
      </c>
      <c r="B1127" t="s">
        <v>21</v>
      </c>
      <c r="C1127" t="s">
        <v>12</v>
      </c>
      <c r="D1127" t="s">
        <v>27</v>
      </c>
      <c r="E1127" t="s">
        <v>14</v>
      </c>
      <c r="F1127" t="s">
        <v>15</v>
      </c>
      <c r="G1127">
        <v>69.38</v>
      </c>
      <c r="H1127">
        <v>17</v>
      </c>
      <c r="I1127">
        <v>861.28</v>
      </c>
      <c r="J1127">
        <v>1</v>
      </c>
      <c r="K1127">
        <v>756.69</v>
      </c>
    </row>
    <row r="1128" spans="1:11" x14ac:dyDescent="0.3">
      <c r="A1128" s="1">
        <v>45007</v>
      </c>
      <c r="B1128" t="s">
        <v>11</v>
      </c>
      <c r="C1128" t="s">
        <v>29</v>
      </c>
      <c r="D1128" t="s">
        <v>27</v>
      </c>
      <c r="E1128" t="s">
        <v>14</v>
      </c>
      <c r="F1128" t="s">
        <v>15</v>
      </c>
      <c r="G1128">
        <v>17.66</v>
      </c>
      <c r="H1128">
        <v>19</v>
      </c>
      <c r="I1128">
        <v>779.83</v>
      </c>
      <c r="J1128">
        <v>1</v>
      </c>
      <c r="K1128">
        <v>728.85</v>
      </c>
    </row>
    <row r="1129" spans="1:11" x14ac:dyDescent="0.3">
      <c r="A1129" s="1">
        <v>45270</v>
      </c>
      <c r="B1129" t="s">
        <v>21</v>
      </c>
      <c r="C1129" t="s">
        <v>29</v>
      </c>
      <c r="D1129" t="s">
        <v>13</v>
      </c>
      <c r="E1129" t="s">
        <v>14</v>
      </c>
      <c r="F1129" t="s">
        <v>16</v>
      </c>
      <c r="G1129">
        <v>137.58000000000001</v>
      </c>
      <c r="H1129">
        <v>16</v>
      </c>
      <c r="I1129">
        <v>419.34</v>
      </c>
      <c r="J1129">
        <v>1</v>
      </c>
      <c r="K1129">
        <v>265.39</v>
      </c>
    </row>
    <row r="1130" spans="1:11" x14ac:dyDescent="0.3">
      <c r="A1130" s="1">
        <v>45066</v>
      </c>
      <c r="B1130" t="s">
        <v>11</v>
      </c>
      <c r="C1130" t="s">
        <v>12</v>
      </c>
      <c r="D1130" t="s">
        <v>19</v>
      </c>
      <c r="E1130" t="s">
        <v>20</v>
      </c>
      <c r="F1130" t="s">
        <v>15</v>
      </c>
      <c r="G1130">
        <v>10.26</v>
      </c>
      <c r="H1130">
        <v>19</v>
      </c>
      <c r="I1130">
        <v>267.10000000000002</v>
      </c>
      <c r="J1130">
        <v>2</v>
      </c>
      <c r="K1130">
        <v>181.12</v>
      </c>
    </row>
    <row r="1131" spans="1:11" x14ac:dyDescent="0.3">
      <c r="A1131" s="1">
        <v>44976</v>
      </c>
      <c r="B1131" t="s">
        <v>21</v>
      </c>
      <c r="C1131" t="s">
        <v>18</v>
      </c>
      <c r="D1131" t="s">
        <v>27</v>
      </c>
      <c r="E1131" t="s">
        <v>14</v>
      </c>
      <c r="F1131" t="s">
        <v>16</v>
      </c>
      <c r="G1131">
        <v>169.03</v>
      </c>
      <c r="H1131">
        <v>19</v>
      </c>
      <c r="I1131">
        <v>959.93</v>
      </c>
      <c r="J1131">
        <v>2</v>
      </c>
      <c r="K1131">
        <v>710.02</v>
      </c>
    </row>
    <row r="1132" spans="1:11" x14ac:dyDescent="0.3">
      <c r="A1132" s="1">
        <v>45158</v>
      </c>
      <c r="B1132" t="s">
        <v>17</v>
      </c>
      <c r="C1132" t="s">
        <v>12</v>
      </c>
      <c r="D1132" t="s">
        <v>13</v>
      </c>
      <c r="E1132" t="s">
        <v>14</v>
      </c>
      <c r="F1132" t="s">
        <v>16</v>
      </c>
      <c r="G1132">
        <v>84.3</v>
      </c>
      <c r="H1132">
        <v>10</v>
      </c>
      <c r="I1132">
        <v>351.58</v>
      </c>
      <c r="J1132">
        <v>0</v>
      </c>
      <c r="K1132">
        <v>267.27999999999997</v>
      </c>
    </row>
    <row r="1133" spans="1:11" x14ac:dyDescent="0.3">
      <c r="A1133" s="1">
        <v>45154</v>
      </c>
      <c r="B1133" t="s">
        <v>17</v>
      </c>
      <c r="C1133" t="s">
        <v>12</v>
      </c>
      <c r="D1133" t="s">
        <v>13</v>
      </c>
      <c r="E1133" t="s">
        <v>20</v>
      </c>
      <c r="F1133" t="s">
        <v>16</v>
      </c>
      <c r="G1133">
        <v>165.22</v>
      </c>
      <c r="H1133">
        <v>16</v>
      </c>
      <c r="I1133">
        <v>407.25</v>
      </c>
      <c r="J1133">
        <v>1</v>
      </c>
      <c r="K1133">
        <v>206.82</v>
      </c>
    </row>
    <row r="1134" spans="1:11" x14ac:dyDescent="0.3">
      <c r="A1134" s="1">
        <v>45074</v>
      </c>
      <c r="B1134" t="s">
        <v>11</v>
      </c>
      <c r="C1134" t="s">
        <v>29</v>
      </c>
      <c r="D1134" t="s">
        <v>27</v>
      </c>
      <c r="E1134" t="s">
        <v>20</v>
      </c>
      <c r="F1134" t="s">
        <v>15</v>
      </c>
      <c r="G1134">
        <v>55.83</v>
      </c>
      <c r="H1134">
        <v>5</v>
      </c>
      <c r="I1134">
        <v>144.97999999999999</v>
      </c>
      <c r="J1134">
        <v>2</v>
      </c>
      <c r="K1134">
        <v>18.07</v>
      </c>
    </row>
    <row r="1135" spans="1:11" x14ac:dyDescent="0.3">
      <c r="A1135" s="1">
        <v>45079</v>
      </c>
      <c r="B1135" t="s">
        <v>17</v>
      </c>
      <c r="C1135" t="s">
        <v>24</v>
      </c>
      <c r="D1135" t="s">
        <v>27</v>
      </c>
      <c r="E1135" t="s">
        <v>14</v>
      </c>
      <c r="F1135" t="s">
        <v>26</v>
      </c>
      <c r="G1135">
        <v>173.93</v>
      </c>
      <c r="H1135">
        <v>18</v>
      </c>
      <c r="I1135">
        <v>994.02</v>
      </c>
      <c r="J1135">
        <v>3</v>
      </c>
      <c r="K1135">
        <v>768.34</v>
      </c>
    </row>
    <row r="1136" spans="1:11" x14ac:dyDescent="0.3">
      <c r="A1136" s="1">
        <v>45213</v>
      </c>
      <c r="B1136" t="s">
        <v>23</v>
      </c>
      <c r="C1136" t="s">
        <v>18</v>
      </c>
      <c r="D1136" t="s">
        <v>28</v>
      </c>
      <c r="E1136" t="s">
        <v>14</v>
      </c>
      <c r="F1136" t="s">
        <v>22</v>
      </c>
      <c r="G1136">
        <v>166.7</v>
      </c>
      <c r="H1136">
        <v>14</v>
      </c>
      <c r="I1136">
        <v>1272.9000000000001</v>
      </c>
      <c r="J1136">
        <v>1</v>
      </c>
      <c r="K1136">
        <v>1083.67</v>
      </c>
    </row>
    <row r="1137" spans="1:11" x14ac:dyDescent="0.3">
      <c r="A1137" s="1">
        <v>45076</v>
      </c>
      <c r="B1137" t="s">
        <v>11</v>
      </c>
      <c r="C1137" t="s">
        <v>12</v>
      </c>
      <c r="D1137" t="s">
        <v>13</v>
      </c>
      <c r="E1137" t="s">
        <v>14</v>
      </c>
      <c r="F1137" t="s">
        <v>16</v>
      </c>
      <c r="G1137">
        <v>81.400000000000006</v>
      </c>
      <c r="H1137">
        <v>14</v>
      </c>
      <c r="I1137">
        <v>514.62</v>
      </c>
      <c r="J1137">
        <v>0</v>
      </c>
      <c r="K1137">
        <v>433.22</v>
      </c>
    </row>
    <row r="1138" spans="1:11" x14ac:dyDescent="0.3">
      <c r="A1138" s="1">
        <v>45164</v>
      </c>
      <c r="B1138" t="s">
        <v>17</v>
      </c>
      <c r="C1138" t="s">
        <v>12</v>
      </c>
      <c r="D1138" t="s">
        <v>25</v>
      </c>
      <c r="E1138" t="s">
        <v>14</v>
      </c>
      <c r="F1138" t="s">
        <v>15</v>
      </c>
      <c r="G1138">
        <v>86.06</v>
      </c>
      <c r="H1138">
        <v>7</v>
      </c>
      <c r="I1138">
        <v>92.98</v>
      </c>
      <c r="J1138">
        <v>3</v>
      </c>
      <c r="K1138">
        <v>-82.75</v>
      </c>
    </row>
    <row r="1139" spans="1:11" x14ac:dyDescent="0.3">
      <c r="A1139" s="1">
        <v>44947</v>
      </c>
      <c r="B1139" t="s">
        <v>21</v>
      </c>
      <c r="C1139" t="s">
        <v>24</v>
      </c>
      <c r="D1139" t="s">
        <v>13</v>
      </c>
      <c r="E1139" t="s">
        <v>14</v>
      </c>
      <c r="F1139" t="s">
        <v>26</v>
      </c>
      <c r="G1139">
        <v>68.36</v>
      </c>
      <c r="H1139">
        <v>9</v>
      </c>
      <c r="I1139">
        <v>861.11</v>
      </c>
      <c r="J1139">
        <v>2</v>
      </c>
      <c r="K1139">
        <v>776.3</v>
      </c>
    </row>
    <row r="1140" spans="1:11" x14ac:dyDescent="0.3">
      <c r="A1140" s="1">
        <v>45082</v>
      </c>
      <c r="B1140" t="s">
        <v>17</v>
      </c>
      <c r="C1140" t="s">
        <v>29</v>
      </c>
      <c r="D1140" t="s">
        <v>19</v>
      </c>
      <c r="E1140" t="s">
        <v>20</v>
      </c>
      <c r="F1140" t="s">
        <v>22</v>
      </c>
      <c r="G1140">
        <v>36.340000000000003</v>
      </c>
      <c r="H1140">
        <v>17</v>
      </c>
      <c r="I1140">
        <v>1511.82</v>
      </c>
      <c r="J1140">
        <v>3</v>
      </c>
      <c r="K1140">
        <v>1453.99</v>
      </c>
    </row>
    <row r="1141" spans="1:11" x14ac:dyDescent="0.3">
      <c r="A1141" s="1">
        <v>45049</v>
      </c>
      <c r="B1141" t="s">
        <v>11</v>
      </c>
      <c r="C1141" t="s">
        <v>29</v>
      </c>
      <c r="D1141" t="s">
        <v>19</v>
      </c>
      <c r="E1141" t="s">
        <v>14</v>
      </c>
      <c r="F1141" t="s">
        <v>22</v>
      </c>
      <c r="G1141">
        <v>127.2</v>
      </c>
      <c r="H1141">
        <v>14</v>
      </c>
      <c r="I1141">
        <v>607.53</v>
      </c>
      <c r="J1141">
        <v>1</v>
      </c>
      <c r="K1141">
        <v>450.18</v>
      </c>
    </row>
    <row r="1142" spans="1:11" x14ac:dyDescent="0.3">
      <c r="A1142" s="1">
        <v>45113</v>
      </c>
      <c r="B1142" t="s">
        <v>17</v>
      </c>
      <c r="C1142" t="s">
        <v>24</v>
      </c>
      <c r="D1142" t="s">
        <v>28</v>
      </c>
      <c r="E1142" t="s">
        <v>20</v>
      </c>
      <c r="F1142" t="s">
        <v>26</v>
      </c>
      <c r="G1142">
        <v>44.48</v>
      </c>
      <c r="H1142">
        <v>6</v>
      </c>
      <c r="I1142">
        <v>326.70999999999998</v>
      </c>
      <c r="J1142">
        <v>2</v>
      </c>
      <c r="K1142">
        <v>219.48</v>
      </c>
    </row>
    <row r="1143" spans="1:11" x14ac:dyDescent="0.3">
      <c r="A1143" s="1">
        <v>44978</v>
      </c>
      <c r="B1143" t="s">
        <v>21</v>
      </c>
      <c r="C1143" t="s">
        <v>24</v>
      </c>
      <c r="D1143" t="s">
        <v>13</v>
      </c>
      <c r="E1143" t="s">
        <v>20</v>
      </c>
      <c r="F1143" t="s">
        <v>26</v>
      </c>
      <c r="G1143">
        <v>24.34</v>
      </c>
      <c r="H1143">
        <v>15</v>
      </c>
      <c r="I1143">
        <v>981.73</v>
      </c>
      <c r="J1143">
        <v>1</v>
      </c>
      <c r="K1143">
        <v>948.09</v>
      </c>
    </row>
    <row r="1144" spans="1:11" x14ac:dyDescent="0.3">
      <c r="A1144" s="1">
        <v>45229</v>
      </c>
      <c r="B1144" t="s">
        <v>23</v>
      </c>
      <c r="C1144" t="s">
        <v>12</v>
      </c>
      <c r="D1144" t="s">
        <v>28</v>
      </c>
      <c r="E1144" t="s">
        <v>14</v>
      </c>
      <c r="F1144" t="s">
        <v>22</v>
      </c>
      <c r="G1144">
        <v>131.51</v>
      </c>
      <c r="H1144">
        <v>12</v>
      </c>
      <c r="I1144">
        <v>569.79999999999995</v>
      </c>
      <c r="J1144">
        <v>3</v>
      </c>
      <c r="K1144">
        <v>307.27</v>
      </c>
    </row>
    <row r="1145" spans="1:11" x14ac:dyDescent="0.3">
      <c r="A1145" s="1">
        <v>45239</v>
      </c>
      <c r="B1145" t="s">
        <v>23</v>
      </c>
      <c r="C1145" t="s">
        <v>29</v>
      </c>
      <c r="D1145" t="s">
        <v>13</v>
      </c>
      <c r="E1145" t="s">
        <v>14</v>
      </c>
      <c r="F1145" t="s">
        <v>16</v>
      </c>
      <c r="G1145">
        <v>58.81</v>
      </c>
      <c r="H1145">
        <v>11</v>
      </c>
      <c r="I1145">
        <v>942.67</v>
      </c>
      <c r="J1145">
        <v>2</v>
      </c>
      <c r="K1145">
        <v>848.93</v>
      </c>
    </row>
    <row r="1146" spans="1:11" x14ac:dyDescent="0.3">
      <c r="A1146" s="1">
        <v>44980</v>
      </c>
      <c r="B1146" t="s">
        <v>21</v>
      </c>
      <c r="C1146" t="s">
        <v>18</v>
      </c>
      <c r="D1146" t="s">
        <v>25</v>
      </c>
      <c r="E1146" t="s">
        <v>14</v>
      </c>
      <c r="F1146" t="s">
        <v>22</v>
      </c>
      <c r="G1146">
        <v>43.97</v>
      </c>
      <c r="H1146">
        <v>8</v>
      </c>
      <c r="I1146">
        <v>527.25</v>
      </c>
      <c r="J1146">
        <v>3</v>
      </c>
      <c r="K1146">
        <v>392.07</v>
      </c>
    </row>
    <row r="1147" spans="1:11" x14ac:dyDescent="0.3">
      <c r="A1147" s="1">
        <v>45215</v>
      </c>
      <c r="B1147" t="s">
        <v>23</v>
      </c>
      <c r="C1147" t="s">
        <v>24</v>
      </c>
      <c r="D1147" t="s">
        <v>28</v>
      </c>
      <c r="E1147" t="s">
        <v>14</v>
      </c>
      <c r="F1147" t="s">
        <v>22</v>
      </c>
      <c r="G1147">
        <v>46.81</v>
      </c>
      <c r="H1147">
        <v>10</v>
      </c>
      <c r="I1147">
        <v>412.17</v>
      </c>
      <c r="J1147">
        <v>2</v>
      </c>
      <c r="K1147">
        <v>280.18</v>
      </c>
    </row>
    <row r="1148" spans="1:11" x14ac:dyDescent="0.3">
      <c r="A1148" s="1">
        <v>45089</v>
      </c>
      <c r="B1148" t="s">
        <v>17</v>
      </c>
      <c r="C1148" t="s">
        <v>29</v>
      </c>
      <c r="D1148" t="s">
        <v>28</v>
      </c>
      <c r="E1148" t="s">
        <v>14</v>
      </c>
      <c r="F1148" t="s">
        <v>26</v>
      </c>
      <c r="G1148">
        <v>12.67</v>
      </c>
      <c r="H1148">
        <v>8</v>
      </c>
      <c r="I1148">
        <v>256.58999999999997</v>
      </c>
      <c r="J1148">
        <v>3</v>
      </c>
      <c r="K1148">
        <v>146.41999999999999</v>
      </c>
    </row>
    <row r="1149" spans="1:11" x14ac:dyDescent="0.3">
      <c r="A1149" s="1">
        <v>45125</v>
      </c>
      <c r="B1149" t="s">
        <v>17</v>
      </c>
      <c r="C1149" t="s">
        <v>24</v>
      </c>
      <c r="D1149" t="s">
        <v>27</v>
      </c>
      <c r="E1149" t="s">
        <v>14</v>
      </c>
      <c r="F1149" t="s">
        <v>16</v>
      </c>
      <c r="G1149">
        <v>104.74</v>
      </c>
      <c r="H1149">
        <v>11</v>
      </c>
      <c r="I1149">
        <v>330.44</v>
      </c>
      <c r="J1149">
        <v>2</v>
      </c>
      <c r="K1149">
        <v>129.93</v>
      </c>
    </row>
    <row r="1150" spans="1:11" x14ac:dyDescent="0.3">
      <c r="A1150" s="1">
        <v>45213</v>
      </c>
      <c r="B1150" t="s">
        <v>23</v>
      </c>
      <c r="C1150" t="s">
        <v>18</v>
      </c>
      <c r="D1150" t="s">
        <v>13</v>
      </c>
      <c r="E1150" t="s">
        <v>20</v>
      </c>
      <c r="F1150" t="s">
        <v>22</v>
      </c>
      <c r="G1150">
        <v>45.4</v>
      </c>
      <c r="H1150">
        <v>2</v>
      </c>
      <c r="I1150">
        <v>47.69</v>
      </c>
      <c r="J1150">
        <v>1</v>
      </c>
      <c r="K1150">
        <v>-35.630000000000003</v>
      </c>
    </row>
    <row r="1151" spans="1:11" x14ac:dyDescent="0.3">
      <c r="A1151" s="1">
        <v>45156</v>
      </c>
      <c r="B1151" t="s">
        <v>17</v>
      </c>
      <c r="C1151" t="s">
        <v>24</v>
      </c>
      <c r="D1151" t="s">
        <v>13</v>
      </c>
      <c r="E1151" t="s">
        <v>14</v>
      </c>
      <c r="F1151" t="s">
        <v>15</v>
      </c>
      <c r="G1151">
        <v>31.56</v>
      </c>
      <c r="H1151">
        <v>16</v>
      </c>
      <c r="I1151">
        <v>1086.55</v>
      </c>
      <c r="J1151">
        <v>2</v>
      </c>
      <c r="K1151">
        <v>983.35</v>
      </c>
    </row>
    <row r="1152" spans="1:11" x14ac:dyDescent="0.3">
      <c r="A1152" s="1">
        <v>45051</v>
      </c>
      <c r="B1152" t="s">
        <v>11</v>
      </c>
      <c r="C1152" t="s">
        <v>12</v>
      </c>
      <c r="D1152" t="s">
        <v>19</v>
      </c>
      <c r="E1152" t="s">
        <v>14</v>
      </c>
      <c r="F1152" t="s">
        <v>15</v>
      </c>
      <c r="G1152">
        <v>166.1</v>
      </c>
      <c r="H1152">
        <v>7</v>
      </c>
      <c r="I1152">
        <v>205.26</v>
      </c>
      <c r="J1152">
        <v>0</v>
      </c>
      <c r="K1152">
        <v>39.159999999999997</v>
      </c>
    </row>
    <row r="1153" spans="1:11" x14ac:dyDescent="0.3">
      <c r="A1153" s="1">
        <v>45087</v>
      </c>
      <c r="B1153" t="s">
        <v>17</v>
      </c>
      <c r="C1153" t="s">
        <v>29</v>
      </c>
      <c r="D1153" t="s">
        <v>19</v>
      </c>
      <c r="E1153" t="s">
        <v>14</v>
      </c>
      <c r="F1153" t="s">
        <v>26</v>
      </c>
      <c r="G1153">
        <v>22.24</v>
      </c>
      <c r="H1153">
        <v>16</v>
      </c>
      <c r="I1153">
        <v>1124.23</v>
      </c>
      <c r="J1153">
        <v>3</v>
      </c>
      <c r="K1153">
        <v>1027.1500000000001</v>
      </c>
    </row>
    <row r="1154" spans="1:11" x14ac:dyDescent="0.3">
      <c r="A1154" s="1">
        <v>45140</v>
      </c>
      <c r="B1154" t="s">
        <v>17</v>
      </c>
      <c r="C1154" t="s">
        <v>29</v>
      </c>
      <c r="D1154" t="s">
        <v>27</v>
      </c>
      <c r="E1154" t="s">
        <v>20</v>
      </c>
      <c r="F1154" t="s">
        <v>15</v>
      </c>
      <c r="G1154">
        <v>7.12</v>
      </c>
      <c r="H1154">
        <v>17</v>
      </c>
      <c r="I1154">
        <v>272.88</v>
      </c>
      <c r="J1154">
        <v>1</v>
      </c>
      <c r="K1154">
        <v>257.83999999999997</v>
      </c>
    </row>
    <row r="1155" spans="1:11" x14ac:dyDescent="0.3">
      <c r="A1155" s="1">
        <v>45052</v>
      </c>
      <c r="B1155" t="s">
        <v>11</v>
      </c>
      <c r="C1155" t="s">
        <v>18</v>
      </c>
      <c r="D1155" t="s">
        <v>19</v>
      </c>
      <c r="E1155" t="s">
        <v>20</v>
      </c>
      <c r="F1155" t="s">
        <v>15</v>
      </c>
      <c r="G1155">
        <v>148.88</v>
      </c>
      <c r="H1155">
        <v>6</v>
      </c>
      <c r="I1155">
        <v>155.51</v>
      </c>
      <c r="J1155">
        <v>3</v>
      </c>
      <c r="K1155">
        <v>-71.52</v>
      </c>
    </row>
    <row r="1156" spans="1:11" x14ac:dyDescent="0.3">
      <c r="A1156" s="1">
        <v>45012</v>
      </c>
      <c r="B1156" t="s">
        <v>11</v>
      </c>
      <c r="C1156" t="s">
        <v>24</v>
      </c>
      <c r="D1156" t="s">
        <v>27</v>
      </c>
      <c r="E1156" t="s">
        <v>20</v>
      </c>
      <c r="F1156" t="s">
        <v>15</v>
      </c>
      <c r="G1156">
        <v>111.36</v>
      </c>
      <c r="H1156">
        <v>12</v>
      </c>
      <c r="I1156">
        <v>918.72</v>
      </c>
      <c r="J1156">
        <v>3</v>
      </c>
      <c r="K1156">
        <v>753.79</v>
      </c>
    </row>
    <row r="1157" spans="1:11" x14ac:dyDescent="0.3">
      <c r="A1157" s="1">
        <v>45083</v>
      </c>
      <c r="B1157" t="s">
        <v>17</v>
      </c>
      <c r="C1157" t="s">
        <v>24</v>
      </c>
      <c r="D1157" t="s">
        <v>28</v>
      </c>
      <c r="E1157" t="s">
        <v>14</v>
      </c>
      <c r="F1157" t="s">
        <v>22</v>
      </c>
      <c r="G1157">
        <v>20.190000000000001</v>
      </c>
      <c r="H1157">
        <v>2</v>
      </c>
      <c r="I1157">
        <v>108.68</v>
      </c>
      <c r="J1157">
        <v>1</v>
      </c>
      <c r="K1157">
        <v>76.39</v>
      </c>
    </row>
    <row r="1158" spans="1:11" x14ac:dyDescent="0.3">
      <c r="A1158" s="1">
        <v>44999</v>
      </c>
      <c r="B1158" t="s">
        <v>11</v>
      </c>
      <c r="C1158" t="s">
        <v>24</v>
      </c>
      <c r="D1158" t="s">
        <v>19</v>
      </c>
      <c r="E1158" t="s">
        <v>20</v>
      </c>
      <c r="F1158" t="s">
        <v>15</v>
      </c>
      <c r="G1158">
        <v>43.64</v>
      </c>
      <c r="H1158">
        <v>11</v>
      </c>
      <c r="I1158">
        <v>387.88</v>
      </c>
      <c r="J1158">
        <v>2</v>
      </c>
      <c r="K1158">
        <v>251.22</v>
      </c>
    </row>
    <row r="1159" spans="1:11" x14ac:dyDescent="0.3">
      <c r="A1159" s="1">
        <v>45178</v>
      </c>
      <c r="B1159" t="s">
        <v>23</v>
      </c>
      <c r="C1159" t="s">
        <v>18</v>
      </c>
      <c r="D1159" t="s">
        <v>13</v>
      </c>
      <c r="E1159" t="s">
        <v>20</v>
      </c>
      <c r="F1159" t="s">
        <v>16</v>
      </c>
      <c r="G1159">
        <v>194.48</v>
      </c>
      <c r="H1159">
        <v>7</v>
      </c>
      <c r="I1159">
        <v>126.61</v>
      </c>
      <c r="J1159">
        <v>1</v>
      </c>
      <c r="K1159">
        <v>-100.97</v>
      </c>
    </row>
    <row r="1160" spans="1:11" x14ac:dyDescent="0.3">
      <c r="A1160" s="1">
        <v>45008</v>
      </c>
      <c r="B1160" t="s">
        <v>11</v>
      </c>
      <c r="C1160" t="s">
        <v>12</v>
      </c>
      <c r="D1160" t="s">
        <v>19</v>
      </c>
      <c r="E1160" t="s">
        <v>20</v>
      </c>
      <c r="F1160" t="s">
        <v>26</v>
      </c>
      <c r="G1160">
        <v>178.79</v>
      </c>
      <c r="H1160">
        <v>8</v>
      </c>
      <c r="I1160">
        <v>481.65</v>
      </c>
      <c r="J1160">
        <v>2</v>
      </c>
      <c r="K1160">
        <v>265.22000000000003</v>
      </c>
    </row>
    <row r="1161" spans="1:11" x14ac:dyDescent="0.3">
      <c r="A1161" s="1">
        <v>45157</v>
      </c>
      <c r="B1161" t="s">
        <v>17</v>
      </c>
      <c r="C1161" t="s">
        <v>24</v>
      </c>
      <c r="D1161" t="s">
        <v>27</v>
      </c>
      <c r="E1161" t="s">
        <v>14</v>
      </c>
      <c r="F1161" t="s">
        <v>16</v>
      </c>
      <c r="G1161">
        <v>121.82</v>
      </c>
      <c r="H1161">
        <v>7</v>
      </c>
      <c r="I1161">
        <v>397.46</v>
      </c>
      <c r="J1161">
        <v>0</v>
      </c>
      <c r="K1161">
        <v>275.64</v>
      </c>
    </row>
    <row r="1162" spans="1:11" x14ac:dyDescent="0.3">
      <c r="A1162" s="1">
        <v>45201</v>
      </c>
      <c r="B1162" t="s">
        <v>23</v>
      </c>
      <c r="C1162" t="s">
        <v>18</v>
      </c>
      <c r="D1162" t="s">
        <v>25</v>
      </c>
      <c r="E1162" t="s">
        <v>14</v>
      </c>
      <c r="F1162" t="s">
        <v>15</v>
      </c>
      <c r="G1162">
        <v>59.82</v>
      </c>
      <c r="H1162">
        <v>7</v>
      </c>
      <c r="I1162">
        <v>593.57000000000005</v>
      </c>
      <c r="J1162">
        <v>2</v>
      </c>
      <c r="K1162">
        <v>456.69</v>
      </c>
    </row>
    <row r="1163" spans="1:11" x14ac:dyDescent="0.3">
      <c r="A1163" s="1">
        <v>45198</v>
      </c>
      <c r="B1163" t="s">
        <v>23</v>
      </c>
      <c r="C1163" t="s">
        <v>29</v>
      </c>
      <c r="D1163" t="s">
        <v>19</v>
      </c>
      <c r="E1163" t="s">
        <v>20</v>
      </c>
      <c r="F1163" t="s">
        <v>22</v>
      </c>
      <c r="G1163">
        <v>30.46</v>
      </c>
      <c r="H1163">
        <v>16</v>
      </c>
      <c r="I1163">
        <v>937.69</v>
      </c>
      <c r="J1163">
        <v>1</v>
      </c>
      <c r="K1163">
        <v>890.77</v>
      </c>
    </row>
    <row r="1164" spans="1:11" x14ac:dyDescent="0.3">
      <c r="A1164" s="1">
        <v>45198</v>
      </c>
      <c r="B1164" t="s">
        <v>23</v>
      </c>
      <c r="C1164" t="s">
        <v>24</v>
      </c>
      <c r="D1164" t="s">
        <v>25</v>
      </c>
      <c r="E1164" t="s">
        <v>20</v>
      </c>
      <c r="F1164" t="s">
        <v>26</v>
      </c>
      <c r="G1164">
        <v>114.21</v>
      </c>
      <c r="H1164">
        <v>8</v>
      </c>
      <c r="I1164">
        <v>195</v>
      </c>
      <c r="J1164">
        <v>0</v>
      </c>
      <c r="K1164">
        <v>80.790000000000006</v>
      </c>
    </row>
    <row r="1165" spans="1:11" x14ac:dyDescent="0.3">
      <c r="A1165" s="1">
        <v>45046</v>
      </c>
      <c r="B1165" t="s">
        <v>11</v>
      </c>
      <c r="C1165" t="s">
        <v>29</v>
      </c>
      <c r="D1165" t="s">
        <v>13</v>
      </c>
      <c r="E1165" t="s">
        <v>20</v>
      </c>
      <c r="F1165" t="s">
        <v>15</v>
      </c>
      <c r="G1165">
        <v>138.25</v>
      </c>
      <c r="H1165">
        <v>6</v>
      </c>
      <c r="I1165">
        <v>330.59</v>
      </c>
      <c r="J1165">
        <v>3</v>
      </c>
      <c r="K1165">
        <v>175.8</v>
      </c>
    </row>
    <row r="1166" spans="1:11" x14ac:dyDescent="0.3">
      <c r="A1166" s="1">
        <v>44999</v>
      </c>
      <c r="B1166" t="s">
        <v>11</v>
      </c>
      <c r="C1166" t="s">
        <v>18</v>
      </c>
      <c r="D1166" t="s">
        <v>13</v>
      </c>
      <c r="E1166" t="s">
        <v>20</v>
      </c>
      <c r="F1166" t="s">
        <v>15</v>
      </c>
      <c r="G1166">
        <v>97.49</v>
      </c>
      <c r="H1166">
        <v>4</v>
      </c>
      <c r="I1166">
        <v>316.8</v>
      </c>
      <c r="J1166">
        <v>0</v>
      </c>
      <c r="K1166">
        <v>219.31</v>
      </c>
    </row>
    <row r="1167" spans="1:11" x14ac:dyDescent="0.3">
      <c r="A1167" s="1">
        <v>45047</v>
      </c>
      <c r="B1167" t="s">
        <v>11</v>
      </c>
      <c r="C1167" t="s">
        <v>12</v>
      </c>
      <c r="D1167" t="s">
        <v>25</v>
      </c>
      <c r="E1167" t="s">
        <v>20</v>
      </c>
      <c r="F1167" t="s">
        <v>26</v>
      </c>
      <c r="G1167">
        <v>24.17</v>
      </c>
      <c r="H1167">
        <v>15</v>
      </c>
      <c r="I1167">
        <v>380.07</v>
      </c>
      <c r="J1167">
        <v>3</v>
      </c>
      <c r="K1167">
        <v>255.06</v>
      </c>
    </row>
    <row r="1168" spans="1:11" x14ac:dyDescent="0.3">
      <c r="A1168" s="1">
        <v>45157</v>
      </c>
      <c r="B1168" t="s">
        <v>17</v>
      </c>
      <c r="C1168" t="s">
        <v>12</v>
      </c>
      <c r="D1168" t="s">
        <v>25</v>
      </c>
      <c r="E1168" t="s">
        <v>14</v>
      </c>
      <c r="F1168" t="s">
        <v>22</v>
      </c>
      <c r="G1168">
        <v>108.81</v>
      </c>
      <c r="H1168">
        <v>13</v>
      </c>
      <c r="I1168">
        <v>958.99</v>
      </c>
      <c r="J1168">
        <v>3</v>
      </c>
      <c r="K1168">
        <v>816.5</v>
      </c>
    </row>
    <row r="1169" spans="1:11" x14ac:dyDescent="0.3">
      <c r="A1169" s="1">
        <v>45225</v>
      </c>
      <c r="B1169" t="s">
        <v>23</v>
      </c>
      <c r="C1169" t="s">
        <v>12</v>
      </c>
      <c r="D1169" t="s">
        <v>13</v>
      </c>
      <c r="E1169" t="s">
        <v>14</v>
      </c>
      <c r="F1169" t="s">
        <v>15</v>
      </c>
      <c r="G1169">
        <v>17.91</v>
      </c>
      <c r="H1169">
        <v>14</v>
      </c>
      <c r="I1169">
        <v>1345.79</v>
      </c>
      <c r="J1169">
        <v>0</v>
      </c>
      <c r="K1169">
        <v>1327.88</v>
      </c>
    </row>
    <row r="1170" spans="1:11" x14ac:dyDescent="0.3">
      <c r="A1170" s="1">
        <v>45289</v>
      </c>
      <c r="B1170" t="s">
        <v>21</v>
      </c>
      <c r="C1170" t="s">
        <v>12</v>
      </c>
      <c r="D1170" t="s">
        <v>19</v>
      </c>
      <c r="E1170" t="s">
        <v>14</v>
      </c>
      <c r="F1170" t="s">
        <v>16</v>
      </c>
      <c r="G1170">
        <v>121.59</v>
      </c>
      <c r="H1170">
        <v>2</v>
      </c>
      <c r="I1170">
        <v>145.13</v>
      </c>
      <c r="J1170">
        <v>0</v>
      </c>
      <c r="K1170">
        <v>23.54</v>
      </c>
    </row>
    <row r="1171" spans="1:11" x14ac:dyDescent="0.3">
      <c r="A1171" s="1">
        <v>45106</v>
      </c>
      <c r="B1171" t="s">
        <v>17</v>
      </c>
      <c r="C1171" t="s">
        <v>18</v>
      </c>
      <c r="D1171" t="s">
        <v>28</v>
      </c>
      <c r="E1171" t="s">
        <v>20</v>
      </c>
      <c r="F1171" t="s">
        <v>15</v>
      </c>
      <c r="G1171">
        <v>199.55</v>
      </c>
      <c r="H1171">
        <v>4</v>
      </c>
      <c r="I1171">
        <v>127.89</v>
      </c>
      <c r="J1171">
        <v>3</v>
      </c>
      <c r="K1171">
        <v>-174.05</v>
      </c>
    </row>
    <row r="1172" spans="1:11" x14ac:dyDescent="0.3">
      <c r="A1172" s="1">
        <v>45231</v>
      </c>
      <c r="B1172" t="s">
        <v>23</v>
      </c>
      <c r="C1172" t="s">
        <v>29</v>
      </c>
      <c r="D1172" t="s">
        <v>25</v>
      </c>
      <c r="E1172" t="s">
        <v>14</v>
      </c>
      <c r="F1172" t="s">
        <v>22</v>
      </c>
      <c r="G1172">
        <v>81.63</v>
      </c>
      <c r="H1172">
        <v>10</v>
      </c>
      <c r="I1172">
        <v>547.62</v>
      </c>
      <c r="J1172">
        <v>1</v>
      </c>
      <c r="K1172">
        <v>432.82</v>
      </c>
    </row>
    <row r="1173" spans="1:11" x14ac:dyDescent="0.3">
      <c r="A1173" s="1">
        <v>45016</v>
      </c>
      <c r="B1173" t="s">
        <v>11</v>
      </c>
      <c r="C1173" t="s">
        <v>24</v>
      </c>
      <c r="D1173" t="s">
        <v>28</v>
      </c>
      <c r="E1173" t="s">
        <v>14</v>
      </c>
      <c r="F1173" t="s">
        <v>22</v>
      </c>
      <c r="G1173">
        <v>100.23</v>
      </c>
      <c r="H1173">
        <v>19</v>
      </c>
      <c r="I1173">
        <v>482.84</v>
      </c>
      <c r="J1173">
        <v>1</v>
      </c>
      <c r="K1173">
        <v>349</v>
      </c>
    </row>
    <row r="1174" spans="1:11" x14ac:dyDescent="0.3">
      <c r="A1174" s="1">
        <v>44928</v>
      </c>
      <c r="B1174" t="s">
        <v>21</v>
      </c>
      <c r="C1174" t="s">
        <v>29</v>
      </c>
      <c r="D1174" t="s">
        <v>25</v>
      </c>
      <c r="E1174" t="s">
        <v>14</v>
      </c>
      <c r="F1174" t="s">
        <v>22</v>
      </c>
      <c r="G1174">
        <v>108.78</v>
      </c>
      <c r="H1174">
        <v>13</v>
      </c>
      <c r="I1174">
        <v>370.99</v>
      </c>
      <c r="J1174">
        <v>1</v>
      </c>
      <c r="K1174">
        <v>253.93</v>
      </c>
    </row>
    <row r="1175" spans="1:11" x14ac:dyDescent="0.3">
      <c r="A1175" s="1">
        <v>44946</v>
      </c>
      <c r="B1175" t="s">
        <v>21</v>
      </c>
      <c r="C1175" t="s">
        <v>12</v>
      </c>
      <c r="D1175" t="s">
        <v>28</v>
      </c>
      <c r="E1175" t="s">
        <v>14</v>
      </c>
      <c r="F1175" t="s">
        <v>22</v>
      </c>
      <c r="G1175">
        <v>81.97</v>
      </c>
      <c r="H1175">
        <v>15</v>
      </c>
      <c r="I1175">
        <v>553.73</v>
      </c>
      <c r="J1175">
        <v>0</v>
      </c>
      <c r="K1175">
        <v>471.76</v>
      </c>
    </row>
    <row r="1176" spans="1:11" x14ac:dyDescent="0.3">
      <c r="A1176" s="1">
        <v>45169</v>
      </c>
      <c r="B1176" t="s">
        <v>17</v>
      </c>
      <c r="C1176" t="s">
        <v>12</v>
      </c>
      <c r="D1176" t="s">
        <v>19</v>
      </c>
      <c r="E1176" t="s">
        <v>20</v>
      </c>
      <c r="F1176" t="s">
        <v>15</v>
      </c>
      <c r="G1176">
        <v>166.83</v>
      </c>
      <c r="H1176">
        <v>17</v>
      </c>
      <c r="I1176">
        <v>1080.6099999999999</v>
      </c>
      <c r="J1176">
        <v>0</v>
      </c>
      <c r="K1176">
        <v>913.78</v>
      </c>
    </row>
    <row r="1177" spans="1:11" x14ac:dyDescent="0.3">
      <c r="A1177" s="1">
        <v>45252</v>
      </c>
      <c r="B1177" t="s">
        <v>23</v>
      </c>
      <c r="C1177" t="s">
        <v>12</v>
      </c>
      <c r="D1177" t="s">
        <v>25</v>
      </c>
      <c r="E1177" t="s">
        <v>20</v>
      </c>
      <c r="F1177" t="s">
        <v>26</v>
      </c>
      <c r="G1177">
        <v>142.5</v>
      </c>
      <c r="H1177">
        <v>4</v>
      </c>
      <c r="I1177">
        <v>313.32</v>
      </c>
      <c r="J1177">
        <v>3</v>
      </c>
      <c r="K1177">
        <v>123.77</v>
      </c>
    </row>
    <row r="1178" spans="1:11" x14ac:dyDescent="0.3">
      <c r="A1178" s="1">
        <v>45054</v>
      </c>
      <c r="B1178" t="s">
        <v>11</v>
      </c>
      <c r="C1178" t="s">
        <v>24</v>
      </c>
      <c r="D1178" t="s">
        <v>25</v>
      </c>
      <c r="E1178" t="s">
        <v>20</v>
      </c>
      <c r="F1178" t="s">
        <v>22</v>
      </c>
      <c r="G1178">
        <v>180.45</v>
      </c>
      <c r="H1178">
        <v>15</v>
      </c>
      <c r="I1178">
        <v>813.53</v>
      </c>
      <c r="J1178">
        <v>1</v>
      </c>
      <c r="K1178">
        <v>620.52</v>
      </c>
    </row>
    <row r="1179" spans="1:11" x14ac:dyDescent="0.3">
      <c r="A1179" s="1">
        <v>45176</v>
      </c>
      <c r="B1179" t="s">
        <v>23</v>
      </c>
      <c r="C1179" t="s">
        <v>12</v>
      </c>
      <c r="D1179" t="s">
        <v>19</v>
      </c>
      <c r="E1179" t="s">
        <v>20</v>
      </c>
      <c r="F1179" t="s">
        <v>15</v>
      </c>
      <c r="G1179">
        <v>40.57</v>
      </c>
      <c r="H1179">
        <v>8</v>
      </c>
      <c r="I1179">
        <v>133.53</v>
      </c>
      <c r="J1179">
        <v>2</v>
      </c>
      <c r="K1179">
        <v>75.989999999999995</v>
      </c>
    </row>
    <row r="1180" spans="1:11" x14ac:dyDescent="0.3">
      <c r="A1180" s="1">
        <v>45186</v>
      </c>
      <c r="B1180" t="s">
        <v>23</v>
      </c>
      <c r="C1180" t="s">
        <v>18</v>
      </c>
      <c r="D1180" t="s">
        <v>13</v>
      </c>
      <c r="E1180" t="s">
        <v>20</v>
      </c>
      <c r="F1180" t="s">
        <v>22</v>
      </c>
      <c r="G1180">
        <v>173.57</v>
      </c>
      <c r="H1180">
        <v>8</v>
      </c>
      <c r="I1180">
        <v>329.06</v>
      </c>
      <c r="J1180">
        <v>0</v>
      </c>
      <c r="K1180">
        <v>155.49</v>
      </c>
    </row>
    <row r="1181" spans="1:11" x14ac:dyDescent="0.3">
      <c r="A1181" s="1">
        <v>45052</v>
      </c>
      <c r="B1181" t="s">
        <v>11</v>
      </c>
      <c r="C1181" t="s">
        <v>18</v>
      </c>
      <c r="D1181" t="s">
        <v>19</v>
      </c>
      <c r="E1181" t="s">
        <v>14</v>
      </c>
      <c r="F1181" t="s">
        <v>22</v>
      </c>
      <c r="G1181">
        <v>9.3800000000000008</v>
      </c>
      <c r="H1181">
        <v>6</v>
      </c>
      <c r="I1181">
        <v>364.91</v>
      </c>
      <c r="J1181">
        <v>3</v>
      </c>
      <c r="K1181">
        <v>321.31</v>
      </c>
    </row>
    <row r="1182" spans="1:11" x14ac:dyDescent="0.3">
      <c r="A1182" s="1">
        <v>44968</v>
      </c>
      <c r="B1182" t="s">
        <v>21</v>
      </c>
      <c r="C1182" t="s">
        <v>18</v>
      </c>
      <c r="D1182" t="s">
        <v>27</v>
      </c>
      <c r="E1182" t="s">
        <v>14</v>
      </c>
      <c r="F1182" t="s">
        <v>15</v>
      </c>
      <c r="G1182">
        <v>77.45</v>
      </c>
      <c r="H1182">
        <v>13</v>
      </c>
      <c r="I1182">
        <v>477.92</v>
      </c>
      <c r="J1182">
        <v>3</v>
      </c>
      <c r="K1182">
        <v>250.75</v>
      </c>
    </row>
    <row r="1183" spans="1:11" x14ac:dyDescent="0.3">
      <c r="A1183" s="1">
        <v>44950</v>
      </c>
      <c r="B1183" t="s">
        <v>21</v>
      </c>
      <c r="C1183" t="s">
        <v>18</v>
      </c>
      <c r="D1183" t="s">
        <v>19</v>
      </c>
      <c r="E1183" t="s">
        <v>20</v>
      </c>
      <c r="F1183" t="s">
        <v>26</v>
      </c>
      <c r="G1183">
        <v>176.29</v>
      </c>
      <c r="H1183">
        <v>6</v>
      </c>
      <c r="I1183">
        <v>434.12</v>
      </c>
      <c r="J1183">
        <v>2</v>
      </c>
      <c r="K1183">
        <v>169.02</v>
      </c>
    </row>
    <row r="1184" spans="1:11" x14ac:dyDescent="0.3">
      <c r="A1184" s="1">
        <v>45102</v>
      </c>
      <c r="B1184" t="s">
        <v>17</v>
      </c>
      <c r="C1184" t="s">
        <v>24</v>
      </c>
      <c r="D1184" t="s">
        <v>25</v>
      </c>
      <c r="E1184" t="s">
        <v>14</v>
      </c>
      <c r="F1184" t="s">
        <v>15</v>
      </c>
      <c r="G1184">
        <v>150.16999999999999</v>
      </c>
      <c r="H1184">
        <v>2</v>
      </c>
      <c r="I1184">
        <v>113.66</v>
      </c>
      <c r="J1184">
        <v>1</v>
      </c>
      <c r="K1184">
        <v>-50.7</v>
      </c>
    </row>
    <row r="1185" spans="1:11" x14ac:dyDescent="0.3">
      <c r="A1185" s="1">
        <v>45175</v>
      </c>
      <c r="B1185" t="s">
        <v>23</v>
      </c>
      <c r="C1185" t="s">
        <v>18</v>
      </c>
      <c r="D1185" t="s">
        <v>13</v>
      </c>
      <c r="E1185" t="s">
        <v>14</v>
      </c>
      <c r="F1185" t="s">
        <v>22</v>
      </c>
      <c r="G1185">
        <v>73.59</v>
      </c>
      <c r="H1185">
        <v>16</v>
      </c>
      <c r="I1185">
        <v>1201.04</v>
      </c>
      <c r="J1185">
        <v>3</v>
      </c>
      <c r="K1185">
        <v>980.41</v>
      </c>
    </row>
    <row r="1186" spans="1:11" x14ac:dyDescent="0.3">
      <c r="A1186" s="1">
        <v>44995</v>
      </c>
      <c r="B1186" t="s">
        <v>11</v>
      </c>
      <c r="C1186" t="s">
        <v>24</v>
      </c>
      <c r="D1186" t="s">
        <v>28</v>
      </c>
      <c r="E1186" t="s">
        <v>14</v>
      </c>
      <c r="F1186" t="s">
        <v>26</v>
      </c>
      <c r="G1186">
        <v>101.31</v>
      </c>
      <c r="H1186">
        <v>12</v>
      </c>
      <c r="I1186">
        <v>428.1</v>
      </c>
      <c r="J1186">
        <v>0</v>
      </c>
      <c r="K1186">
        <v>326.79000000000002</v>
      </c>
    </row>
    <row r="1187" spans="1:11" x14ac:dyDescent="0.3">
      <c r="A1187" s="1">
        <v>44929</v>
      </c>
      <c r="B1187" t="s">
        <v>21</v>
      </c>
      <c r="C1187" t="s">
        <v>29</v>
      </c>
      <c r="D1187" t="s">
        <v>28</v>
      </c>
      <c r="E1187" t="s">
        <v>20</v>
      </c>
      <c r="F1187" t="s">
        <v>16</v>
      </c>
      <c r="G1187">
        <v>60.03</v>
      </c>
      <c r="H1187">
        <v>17</v>
      </c>
      <c r="I1187">
        <v>796.52</v>
      </c>
      <c r="J1187">
        <v>1</v>
      </c>
      <c r="K1187">
        <v>694.42</v>
      </c>
    </row>
    <row r="1188" spans="1:11" x14ac:dyDescent="0.3">
      <c r="A1188" s="1">
        <v>45186</v>
      </c>
      <c r="B1188" t="s">
        <v>23</v>
      </c>
      <c r="C1188" t="s">
        <v>29</v>
      </c>
      <c r="D1188" t="s">
        <v>19</v>
      </c>
      <c r="E1188" t="s">
        <v>20</v>
      </c>
      <c r="F1188" t="s">
        <v>15</v>
      </c>
      <c r="G1188">
        <v>56.13</v>
      </c>
      <c r="H1188">
        <v>17</v>
      </c>
      <c r="I1188">
        <v>554.13</v>
      </c>
      <c r="J1188">
        <v>1</v>
      </c>
      <c r="K1188">
        <v>491.03</v>
      </c>
    </row>
    <row r="1189" spans="1:11" x14ac:dyDescent="0.3">
      <c r="A1189" s="1">
        <v>45015</v>
      </c>
      <c r="B1189" t="s">
        <v>11</v>
      </c>
      <c r="C1189" t="s">
        <v>24</v>
      </c>
      <c r="D1189" t="s">
        <v>27</v>
      </c>
      <c r="E1189" t="s">
        <v>20</v>
      </c>
      <c r="F1189" t="s">
        <v>15</v>
      </c>
      <c r="G1189">
        <v>81.91</v>
      </c>
      <c r="H1189">
        <v>14</v>
      </c>
      <c r="I1189">
        <v>981.26</v>
      </c>
      <c r="J1189">
        <v>2</v>
      </c>
      <c r="K1189">
        <v>827.11</v>
      </c>
    </row>
    <row r="1190" spans="1:11" x14ac:dyDescent="0.3">
      <c r="A1190" s="1">
        <v>45221</v>
      </c>
      <c r="B1190" t="s">
        <v>23</v>
      </c>
      <c r="C1190" t="s">
        <v>18</v>
      </c>
      <c r="D1190" t="s">
        <v>28</v>
      </c>
      <c r="E1190" t="s">
        <v>14</v>
      </c>
      <c r="F1190" t="s">
        <v>22</v>
      </c>
      <c r="G1190">
        <v>37.85</v>
      </c>
      <c r="H1190">
        <v>6</v>
      </c>
      <c r="I1190">
        <v>83.51</v>
      </c>
      <c r="J1190">
        <v>3</v>
      </c>
      <c r="K1190">
        <v>1.34</v>
      </c>
    </row>
    <row r="1191" spans="1:11" x14ac:dyDescent="0.3">
      <c r="A1191" s="1">
        <v>45159</v>
      </c>
      <c r="B1191" t="s">
        <v>17</v>
      </c>
      <c r="C1191" t="s">
        <v>18</v>
      </c>
      <c r="D1191" t="s">
        <v>13</v>
      </c>
      <c r="E1191" t="s">
        <v>20</v>
      </c>
      <c r="F1191" t="s">
        <v>26</v>
      </c>
      <c r="G1191">
        <v>164.23</v>
      </c>
      <c r="H1191">
        <v>12</v>
      </c>
      <c r="I1191">
        <v>253.33</v>
      </c>
      <c r="J1191">
        <v>1</v>
      </c>
      <c r="K1191">
        <v>83.47</v>
      </c>
    </row>
    <row r="1192" spans="1:11" x14ac:dyDescent="0.3">
      <c r="A1192" s="1">
        <v>45088</v>
      </c>
      <c r="B1192" t="s">
        <v>17</v>
      </c>
      <c r="C1192" t="s">
        <v>12</v>
      </c>
      <c r="D1192" t="s">
        <v>28</v>
      </c>
      <c r="E1192" t="s">
        <v>14</v>
      </c>
      <c r="F1192" t="s">
        <v>26</v>
      </c>
      <c r="G1192">
        <v>57.95</v>
      </c>
      <c r="H1192">
        <v>17</v>
      </c>
      <c r="I1192">
        <v>473.92</v>
      </c>
      <c r="J1192">
        <v>1</v>
      </c>
      <c r="K1192">
        <v>389.92</v>
      </c>
    </row>
    <row r="1193" spans="1:11" x14ac:dyDescent="0.3">
      <c r="A1193" s="1">
        <v>44929</v>
      </c>
      <c r="B1193" t="s">
        <v>21</v>
      </c>
      <c r="C1193" t="s">
        <v>12</v>
      </c>
      <c r="D1193" t="s">
        <v>25</v>
      </c>
      <c r="E1193" t="s">
        <v>14</v>
      </c>
      <c r="F1193" t="s">
        <v>26</v>
      </c>
      <c r="G1193">
        <v>180.07</v>
      </c>
      <c r="H1193">
        <v>10</v>
      </c>
      <c r="I1193">
        <v>613.44000000000005</v>
      </c>
      <c r="J1193">
        <v>0</v>
      </c>
      <c r="K1193">
        <v>433.37</v>
      </c>
    </row>
    <row r="1194" spans="1:11" x14ac:dyDescent="0.3">
      <c r="A1194" s="1">
        <v>44929</v>
      </c>
      <c r="B1194" t="s">
        <v>21</v>
      </c>
      <c r="C1194" t="s">
        <v>18</v>
      </c>
      <c r="D1194" t="s">
        <v>27</v>
      </c>
      <c r="E1194" t="s">
        <v>20</v>
      </c>
      <c r="F1194" t="s">
        <v>26</v>
      </c>
      <c r="G1194">
        <v>6.2</v>
      </c>
      <c r="H1194">
        <v>7</v>
      </c>
      <c r="I1194">
        <v>541.74</v>
      </c>
      <c r="J1194">
        <v>2</v>
      </c>
      <c r="K1194">
        <v>523.12</v>
      </c>
    </row>
    <row r="1195" spans="1:11" x14ac:dyDescent="0.3">
      <c r="A1195" s="1">
        <v>45057</v>
      </c>
      <c r="B1195" t="s">
        <v>11</v>
      </c>
      <c r="C1195" t="s">
        <v>18</v>
      </c>
      <c r="D1195" t="s">
        <v>25</v>
      </c>
      <c r="E1195" t="s">
        <v>14</v>
      </c>
      <c r="F1195" t="s">
        <v>22</v>
      </c>
      <c r="G1195">
        <v>44.54</v>
      </c>
      <c r="H1195">
        <v>7</v>
      </c>
      <c r="I1195">
        <v>134.38</v>
      </c>
      <c r="J1195">
        <v>3</v>
      </c>
      <c r="K1195">
        <v>60.89</v>
      </c>
    </row>
    <row r="1196" spans="1:11" x14ac:dyDescent="0.3">
      <c r="A1196" s="1">
        <v>45044</v>
      </c>
      <c r="B1196" t="s">
        <v>11</v>
      </c>
      <c r="C1196" t="s">
        <v>24</v>
      </c>
      <c r="D1196" t="s">
        <v>13</v>
      </c>
      <c r="E1196" t="s">
        <v>20</v>
      </c>
      <c r="F1196" t="s">
        <v>15</v>
      </c>
      <c r="G1196">
        <v>70.930000000000007</v>
      </c>
      <c r="H1196">
        <v>14</v>
      </c>
      <c r="I1196">
        <v>288</v>
      </c>
      <c r="J1196">
        <v>1</v>
      </c>
      <c r="K1196">
        <v>183.9</v>
      </c>
    </row>
    <row r="1197" spans="1:11" x14ac:dyDescent="0.3">
      <c r="A1197" s="1">
        <v>45237</v>
      </c>
      <c r="B1197" t="s">
        <v>23</v>
      </c>
      <c r="C1197" t="s">
        <v>12</v>
      </c>
      <c r="D1197" t="s">
        <v>27</v>
      </c>
      <c r="E1197" t="s">
        <v>14</v>
      </c>
      <c r="F1197" t="s">
        <v>16</v>
      </c>
      <c r="G1197">
        <v>195.02</v>
      </c>
      <c r="H1197">
        <v>13</v>
      </c>
      <c r="I1197">
        <v>1220.3499999999999</v>
      </c>
      <c r="J1197">
        <v>1</v>
      </c>
      <c r="K1197">
        <v>1001.06</v>
      </c>
    </row>
    <row r="1198" spans="1:11" x14ac:dyDescent="0.3">
      <c r="A1198" s="1">
        <v>45221</v>
      </c>
      <c r="B1198" t="s">
        <v>23</v>
      </c>
      <c r="C1198" t="s">
        <v>12</v>
      </c>
      <c r="D1198" t="s">
        <v>28</v>
      </c>
      <c r="E1198" t="s">
        <v>14</v>
      </c>
      <c r="F1198" t="s">
        <v>22</v>
      </c>
      <c r="G1198">
        <v>45.81</v>
      </c>
      <c r="H1198">
        <v>7</v>
      </c>
      <c r="I1198">
        <v>378.39</v>
      </c>
      <c r="J1198">
        <v>2</v>
      </c>
      <c r="K1198">
        <v>314.07</v>
      </c>
    </row>
    <row r="1199" spans="1:11" x14ac:dyDescent="0.3">
      <c r="A1199" s="1">
        <v>45286</v>
      </c>
      <c r="B1199" t="s">
        <v>21</v>
      </c>
      <c r="C1199" t="s">
        <v>24</v>
      </c>
      <c r="D1199" t="s">
        <v>27</v>
      </c>
      <c r="E1199" t="s">
        <v>14</v>
      </c>
      <c r="F1199" t="s">
        <v>15</v>
      </c>
      <c r="G1199">
        <v>6.23</v>
      </c>
      <c r="H1199">
        <v>8</v>
      </c>
      <c r="I1199">
        <v>698.63</v>
      </c>
      <c r="J1199">
        <v>0</v>
      </c>
      <c r="K1199">
        <v>692.4</v>
      </c>
    </row>
    <row r="1200" spans="1:11" x14ac:dyDescent="0.3">
      <c r="A1200" s="1">
        <v>44933</v>
      </c>
      <c r="B1200" t="s">
        <v>21</v>
      </c>
      <c r="C1200" t="s">
        <v>12</v>
      </c>
      <c r="D1200" t="s">
        <v>27</v>
      </c>
      <c r="E1200" t="s">
        <v>14</v>
      </c>
      <c r="F1200" t="s">
        <v>22</v>
      </c>
      <c r="G1200">
        <v>150.44</v>
      </c>
      <c r="H1200">
        <v>12</v>
      </c>
      <c r="I1200">
        <v>952.84</v>
      </c>
      <c r="J1200">
        <v>1</v>
      </c>
      <c r="K1200">
        <v>780.42</v>
      </c>
    </row>
    <row r="1201" spans="1:11" x14ac:dyDescent="0.3">
      <c r="A1201" s="1">
        <v>45154</v>
      </c>
      <c r="B1201" t="s">
        <v>17</v>
      </c>
      <c r="C1201" t="s">
        <v>29</v>
      </c>
      <c r="D1201" t="s">
        <v>13</v>
      </c>
      <c r="E1201" t="s">
        <v>14</v>
      </c>
      <c r="F1201" t="s">
        <v>26</v>
      </c>
      <c r="G1201">
        <v>113.53</v>
      </c>
      <c r="H1201">
        <v>4</v>
      </c>
      <c r="I1201">
        <v>365.32</v>
      </c>
      <c r="J1201">
        <v>2</v>
      </c>
      <c r="K1201">
        <v>201.05</v>
      </c>
    </row>
    <row r="1202" spans="1:11" x14ac:dyDescent="0.3">
      <c r="A1202" s="1">
        <v>44957</v>
      </c>
      <c r="B1202" t="s">
        <v>21</v>
      </c>
      <c r="C1202" t="s">
        <v>29</v>
      </c>
      <c r="D1202" t="s">
        <v>13</v>
      </c>
      <c r="E1202" t="s">
        <v>20</v>
      </c>
      <c r="F1202" t="s">
        <v>26</v>
      </c>
      <c r="G1202">
        <v>98.42</v>
      </c>
      <c r="H1202">
        <v>4</v>
      </c>
      <c r="I1202">
        <v>137.47</v>
      </c>
      <c r="J1202">
        <v>2</v>
      </c>
      <c r="K1202">
        <v>19.55</v>
      </c>
    </row>
    <row r="1203" spans="1:11" x14ac:dyDescent="0.3">
      <c r="A1203" s="1">
        <v>45183</v>
      </c>
      <c r="B1203" t="s">
        <v>23</v>
      </c>
      <c r="C1203" t="s">
        <v>29</v>
      </c>
      <c r="D1203" t="s">
        <v>13</v>
      </c>
      <c r="E1203" t="s">
        <v>20</v>
      </c>
      <c r="F1203" t="s">
        <v>26</v>
      </c>
      <c r="G1203">
        <v>16.27</v>
      </c>
      <c r="H1203">
        <v>20</v>
      </c>
      <c r="I1203">
        <v>1162.6400000000001</v>
      </c>
      <c r="J1203">
        <v>3</v>
      </c>
      <c r="K1203">
        <v>1112.95</v>
      </c>
    </row>
    <row r="1204" spans="1:11" x14ac:dyDescent="0.3">
      <c r="A1204" s="1">
        <v>45024</v>
      </c>
      <c r="B1204" t="s">
        <v>11</v>
      </c>
      <c r="C1204" t="s">
        <v>12</v>
      </c>
      <c r="D1204" t="s">
        <v>25</v>
      </c>
      <c r="E1204" t="s">
        <v>14</v>
      </c>
      <c r="F1204" t="s">
        <v>15</v>
      </c>
      <c r="G1204">
        <v>6.53</v>
      </c>
      <c r="H1204">
        <v>2</v>
      </c>
      <c r="I1204">
        <v>124.66</v>
      </c>
      <c r="J1204">
        <v>1</v>
      </c>
      <c r="K1204">
        <v>76.69</v>
      </c>
    </row>
    <row r="1205" spans="1:11" x14ac:dyDescent="0.3">
      <c r="A1205" s="1">
        <v>45080</v>
      </c>
      <c r="B1205" t="s">
        <v>17</v>
      </c>
      <c r="C1205" t="s">
        <v>18</v>
      </c>
      <c r="D1205" t="s">
        <v>19</v>
      </c>
      <c r="E1205" t="s">
        <v>20</v>
      </c>
      <c r="F1205" t="s">
        <v>15</v>
      </c>
      <c r="G1205">
        <v>91.47</v>
      </c>
      <c r="H1205">
        <v>19</v>
      </c>
      <c r="I1205">
        <v>1487.04</v>
      </c>
      <c r="J1205">
        <v>3</v>
      </c>
      <c r="K1205">
        <v>1341.41</v>
      </c>
    </row>
    <row r="1206" spans="1:11" x14ac:dyDescent="0.3">
      <c r="A1206" s="1">
        <v>45115</v>
      </c>
      <c r="B1206" t="s">
        <v>17</v>
      </c>
      <c r="C1206" t="s">
        <v>18</v>
      </c>
      <c r="D1206" t="s">
        <v>28</v>
      </c>
      <c r="E1206" t="s">
        <v>14</v>
      </c>
      <c r="F1206" t="s">
        <v>16</v>
      </c>
      <c r="G1206">
        <v>56.02</v>
      </c>
      <c r="H1206">
        <v>8</v>
      </c>
      <c r="I1206">
        <v>457.59</v>
      </c>
      <c r="J1206">
        <v>2</v>
      </c>
      <c r="K1206">
        <v>391.33</v>
      </c>
    </row>
    <row r="1207" spans="1:11" x14ac:dyDescent="0.3">
      <c r="A1207" s="1">
        <v>45037</v>
      </c>
      <c r="B1207" t="s">
        <v>11</v>
      </c>
      <c r="C1207" t="s">
        <v>29</v>
      </c>
      <c r="D1207" t="s">
        <v>28</v>
      </c>
      <c r="E1207" t="s">
        <v>14</v>
      </c>
      <c r="F1207" t="s">
        <v>16</v>
      </c>
      <c r="G1207">
        <v>106.89</v>
      </c>
      <c r="H1207">
        <v>19</v>
      </c>
      <c r="I1207">
        <v>1586.98</v>
      </c>
      <c r="J1207">
        <v>0</v>
      </c>
      <c r="K1207">
        <v>1480.09</v>
      </c>
    </row>
    <row r="1208" spans="1:11" x14ac:dyDescent="0.3">
      <c r="A1208" s="1">
        <v>45279</v>
      </c>
      <c r="B1208" t="s">
        <v>21</v>
      </c>
      <c r="C1208" t="s">
        <v>24</v>
      </c>
      <c r="D1208" t="s">
        <v>25</v>
      </c>
      <c r="E1208" t="s">
        <v>14</v>
      </c>
      <c r="F1208" t="s">
        <v>26</v>
      </c>
      <c r="G1208">
        <v>7.23</v>
      </c>
      <c r="H1208">
        <v>5</v>
      </c>
      <c r="I1208">
        <v>376.48</v>
      </c>
      <c r="J1208">
        <v>1</v>
      </c>
      <c r="K1208">
        <v>353.45</v>
      </c>
    </row>
    <row r="1209" spans="1:11" x14ac:dyDescent="0.3">
      <c r="A1209" s="1">
        <v>45203</v>
      </c>
      <c r="B1209" t="s">
        <v>23</v>
      </c>
      <c r="C1209" t="s">
        <v>18</v>
      </c>
      <c r="D1209" t="s">
        <v>19</v>
      </c>
      <c r="E1209" t="s">
        <v>14</v>
      </c>
      <c r="F1209" t="s">
        <v>22</v>
      </c>
      <c r="G1209">
        <v>52.24</v>
      </c>
      <c r="H1209">
        <v>10</v>
      </c>
      <c r="I1209">
        <v>403.46</v>
      </c>
      <c r="J1209">
        <v>1</v>
      </c>
      <c r="K1209">
        <v>335.92</v>
      </c>
    </row>
    <row r="1210" spans="1:11" x14ac:dyDescent="0.3">
      <c r="A1210" s="1">
        <v>44976</v>
      </c>
      <c r="B1210" t="s">
        <v>21</v>
      </c>
      <c r="C1210" t="s">
        <v>12</v>
      </c>
      <c r="D1210" t="s">
        <v>19</v>
      </c>
      <c r="E1210" t="s">
        <v>20</v>
      </c>
      <c r="F1210" t="s">
        <v>22</v>
      </c>
      <c r="G1210">
        <v>99.42</v>
      </c>
      <c r="H1210">
        <v>12</v>
      </c>
      <c r="I1210">
        <v>174.07</v>
      </c>
      <c r="J1210">
        <v>0</v>
      </c>
      <c r="K1210">
        <v>74.650000000000006</v>
      </c>
    </row>
    <row r="1211" spans="1:11" x14ac:dyDescent="0.3">
      <c r="A1211" s="1">
        <v>45073</v>
      </c>
      <c r="B1211" t="s">
        <v>11</v>
      </c>
      <c r="C1211" t="s">
        <v>18</v>
      </c>
      <c r="D1211" t="s">
        <v>27</v>
      </c>
      <c r="E1211" t="s">
        <v>14</v>
      </c>
      <c r="F1211" t="s">
        <v>15</v>
      </c>
      <c r="G1211">
        <v>31.43</v>
      </c>
      <c r="H1211">
        <v>19</v>
      </c>
      <c r="I1211">
        <v>213.92</v>
      </c>
      <c r="J1211">
        <v>0</v>
      </c>
      <c r="K1211">
        <v>182.49</v>
      </c>
    </row>
    <row r="1212" spans="1:11" x14ac:dyDescent="0.3">
      <c r="A1212" s="1">
        <v>45213</v>
      </c>
      <c r="B1212" t="s">
        <v>23</v>
      </c>
      <c r="C1212" t="s">
        <v>24</v>
      </c>
      <c r="D1212" t="s">
        <v>28</v>
      </c>
      <c r="E1212" t="s">
        <v>20</v>
      </c>
      <c r="F1212" t="s">
        <v>22</v>
      </c>
      <c r="G1212">
        <v>53.63</v>
      </c>
      <c r="H1212">
        <v>7</v>
      </c>
      <c r="I1212">
        <v>136.58000000000001</v>
      </c>
      <c r="J1212">
        <v>2</v>
      </c>
      <c r="K1212">
        <v>5.05</v>
      </c>
    </row>
    <row r="1213" spans="1:11" x14ac:dyDescent="0.3">
      <c r="A1213" s="1">
        <v>45153</v>
      </c>
      <c r="B1213" t="s">
        <v>17</v>
      </c>
      <c r="C1213" t="s">
        <v>24</v>
      </c>
      <c r="D1213" t="s">
        <v>13</v>
      </c>
      <c r="E1213" t="s">
        <v>14</v>
      </c>
      <c r="F1213" t="s">
        <v>22</v>
      </c>
      <c r="G1213">
        <v>94.04</v>
      </c>
      <c r="H1213">
        <v>19</v>
      </c>
      <c r="I1213">
        <v>193.62</v>
      </c>
      <c r="J1213">
        <v>3</v>
      </c>
      <c r="K1213">
        <v>-48.51</v>
      </c>
    </row>
    <row r="1214" spans="1:11" x14ac:dyDescent="0.3">
      <c r="A1214" s="1">
        <v>45186</v>
      </c>
      <c r="B1214" t="s">
        <v>23</v>
      </c>
      <c r="C1214" t="s">
        <v>24</v>
      </c>
      <c r="D1214" t="s">
        <v>13</v>
      </c>
      <c r="E1214" t="s">
        <v>14</v>
      </c>
      <c r="F1214" t="s">
        <v>22</v>
      </c>
      <c r="G1214">
        <v>32.71</v>
      </c>
      <c r="H1214">
        <v>13</v>
      </c>
      <c r="I1214">
        <v>437.36</v>
      </c>
      <c r="J1214">
        <v>0</v>
      </c>
      <c r="K1214">
        <v>404.65</v>
      </c>
    </row>
    <row r="1215" spans="1:11" x14ac:dyDescent="0.3">
      <c r="A1215" s="1">
        <v>44931</v>
      </c>
      <c r="B1215" t="s">
        <v>21</v>
      </c>
      <c r="C1215" t="s">
        <v>24</v>
      </c>
      <c r="D1215" t="s">
        <v>28</v>
      </c>
      <c r="E1215" t="s">
        <v>20</v>
      </c>
      <c r="F1215" t="s">
        <v>15</v>
      </c>
      <c r="G1215">
        <v>135.16999999999999</v>
      </c>
      <c r="H1215">
        <v>19</v>
      </c>
      <c r="I1215">
        <v>336.47</v>
      </c>
      <c r="J1215">
        <v>0</v>
      </c>
      <c r="K1215">
        <v>201.3</v>
      </c>
    </row>
    <row r="1216" spans="1:11" x14ac:dyDescent="0.3">
      <c r="A1216" s="1">
        <v>44955</v>
      </c>
      <c r="B1216" t="s">
        <v>21</v>
      </c>
      <c r="C1216" t="s">
        <v>24</v>
      </c>
      <c r="D1216" t="s">
        <v>27</v>
      </c>
      <c r="E1216" t="s">
        <v>20</v>
      </c>
      <c r="F1216" t="s">
        <v>16</v>
      </c>
      <c r="G1216">
        <v>144.13999999999999</v>
      </c>
      <c r="H1216">
        <v>18</v>
      </c>
      <c r="I1216">
        <v>784.46</v>
      </c>
      <c r="J1216">
        <v>3</v>
      </c>
      <c r="K1216">
        <v>565.57000000000005</v>
      </c>
    </row>
    <row r="1217" spans="1:11" x14ac:dyDescent="0.3">
      <c r="A1217" s="1">
        <v>44995</v>
      </c>
      <c r="B1217" t="s">
        <v>11</v>
      </c>
      <c r="C1217" t="s">
        <v>18</v>
      </c>
      <c r="D1217" t="s">
        <v>25</v>
      </c>
      <c r="E1217" t="s">
        <v>20</v>
      </c>
      <c r="F1217" t="s">
        <v>16</v>
      </c>
      <c r="G1217">
        <v>149.06</v>
      </c>
      <c r="H1217">
        <v>18</v>
      </c>
      <c r="I1217">
        <v>1226.79</v>
      </c>
      <c r="J1217">
        <v>1</v>
      </c>
      <c r="K1217">
        <v>1036.5999999999999</v>
      </c>
    </row>
    <row r="1218" spans="1:11" x14ac:dyDescent="0.3">
      <c r="A1218" s="1">
        <v>45262</v>
      </c>
      <c r="B1218" t="s">
        <v>21</v>
      </c>
      <c r="C1218" t="s">
        <v>18</v>
      </c>
      <c r="D1218" t="s">
        <v>27</v>
      </c>
      <c r="E1218" t="s">
        <v>14</v>
      </c>
      <c r="F1218" t="s">
        <v>15</v>
      </c>
      <c r="G1218">
        <v>119.56</v>
      </c>
      <c r="H1218">
        <v>8</v>
      </c>
      <c r="I1218">
        <v>503.03</v>
      </c>
      <c r="J1218">
        <v>3</v>
      </c>
      <c r="K1218">
        <v>340.2</v>
      </c>
    </row>
    <row r="1219" spans="1:11" x14ac:dyDescent="0.3">
      <c r="A1219" s="1">
        <v>44940</v>
      </c>
      <c r="B1219" t="s">
        <v>21</v>
      </c>
      <c r="C1219" t="s">
        <v>24</v>
      </c>
      <c r="D1219" t="s">
        <v>28</v>
      </c>
      <c r="E1219" t="s">
        <v>20</v>
      </c>
      <c r="F1219" t="s">
        <v>16</v>
      </c>
      <c r="G1219">
        <v>109.41</v>
      </c>
      <c r="H1219">
        <v>19</v>
      </c>
      <c r="I1219">
        <v>1254.8399999999999</v>
      </c>
      <c r="J1219">
        <v>3</v>
      </c>
      <c r="K1219">
        <v>1063.6600000000001</v>
      </c>
    </row>
    <row r="1220" spans="1:11" x14ac:dyDescent="0.3">
      <c r="A1220" s="1">
        <v>45234</v>
      </c>
      <c r="B1220" t="s">
        <v>23</v>
      </c>
      <c r="C1220" t="s">
        <v>18</v>
      </c>
      <c r="D1220" t="s">
        <v>28</v>
      </c>
      <c r="E1220" t="s">
        <v>20</v>
      </c>
      <c r="F1220" t="s">
        <v>22</v>
      </c>
      <c r="G1220">
        <v>8.89</v>
      </c>
      <c r="H1220">
        <v>13</v>
      </c>
      <c r="I1220">
        <v>211.66</v>
      </c>
      <c r="J1220">
        <v>2</v>
      </c>
      <c r="K1220">
        <v>132.65</v>
      </c>
    </row>
    <row r="1221" spans="1:11" x14ac:dyDescent="0.3">
      <c r="A1221" s="1">
        <v>45151</v>
      </c>
      <c r="B1221" t="s">
        <v>17</v>
      </c>
      <c r="C1221" t="s">
        <v>29</v>
      </c>
      <c r="D1221" t="s">
        <v>13</v>
      </c>
      <c r="E1221" t="s">
        <v>20</v>
      </c>
      <c r="F1221" t="s">
        <v>22</v>
      </c>
      <c r="G1221">
        <v>137.97999999999999</v>
      </c>
      <c r="H1221">
        <v>14</v>
      </c>
      <c r="I1221">
        <v>712.21</v>
      </c>
      <c r="J1221">
        <v>3</v>
      </c>
      <c r="K1221">
        <v>506.81</v>
      </c>
    </row>
    <row r="1222" spans="1:11" x14ac:dyDescent="0.3">
      <c r="A1222" s="1">
        <v>44955</v>
      </c>
      <c r="B1222" t="s">
        <v>21</v>
      </c>
      <c r="C1222" t="s">
        <v>29</v>
      </c>
      <c r="D1222" t="s">
        <v>13</v>
      </c>
      <c r="E1222" t="s">
        <v>20</v>
      </c>
      <c r="F1222" t="s">
        <v>16</v>
      </c>
      <c r="G1222">
        <v>194.46</v>
      </c>
      <c r="H1222">
        <v>10</v>
      </c>
      <c r="I1222">
        <v>552.77</v>
      </c>
      <c r="J1222">
        <v>1</v>
      </c>
      <c r="K1222">
        <v>348.62</v>
      </c>
    </row>
    <row r="1223" spans="1:11" x14ac:dyDescent="0.3">
      <c r="A1223" s="1">
        <v>45083</v>
      </c>
      <c r="B1223" t="s">
        <v>17</v>
      </c>
      <c r="C1223" t="s">
        <v>24</v>
      </c>
      <c r="D1223" t="s">
        <v>25</v>
      </c>
      <c r="E1223" t="s">
        <v>20</v>
      </c>
      <c r="F1223" t="s">
        <v>16</v>
      </c>
      <c r="G1223">
        <v>122.09</v>
      </c>
      <c r="H1223">
        <v>5</v>
      </c>
      <c r="I1223">
        <v>156.21</v>
      </c>
      <c r="J1223">
        <v>0</v>
      </c>
      <c r="K1223">
        <v>34.119999999999997</v>
      </c>
    </row>
    <row r="1224" spans="1:11" x14ac:dyDescent="0.3">
      <c r="A1224" s="1">
        <v>45055</v>
      </c>
      <c r="B1224" t="s">
        <v>11</v>
      </c>
      <c r="C1224" t="s">
        <v>18</v>
      </c>
      <c r="D1224" t="s">
        <v>25</v>
      </c>
      <c r="E1224" t="s">
        <v>14</v>
      </c>
      <c r="F1224" t="s">
        <v>15</v>
      </c>
      <c r="G1224">
        <v>165.88</v>
      </c>
      <c r="H1224">
        <v>18</v>
      </c>
      <c r="I1224">
        <v>1304.52</v>
      </c>
      <c r="J1224">
        <v>3</v>
      </c>
      <c r="K1224">
        <v>1021.05</v>
      </c>
    </row>
    <row r="1225" spans="1:11" x14ac:dyDescent="0.3">
      <c r="A1225" s="1">
        <v>45110</v>
      </c>
      <c r="B1225" t="s">
        <v>17</v>
      </c>
      <c r="C1225" t="s">
        <v>24</v>
      </c>
      <c r="D1225" t="s">
        <v>13</v>
      </c>
      <c r="E1225" t="s">
        <v>20</v>
      </c>
      <c r="F1225" t="s">
        <v>16</v>
      </c>
      <c r="G1225">
        <v>69.790000000000006</v>
      </c>
      <c r="H1225">
        <v>20</v>
      </c>
      <c r="I1225">
        <v>879.58</v>
      </c>
      <c r="J1225">
        <v>1</v>
      </c>
      <c r="K1225">
        <v>768.83</v>
      </c>
    </row>
    <row r="1226" spans="1:11" x14ac:dyDescent="0.3">
      <c r="A1226" s="1">
        <v>45001</v>
      </c>
      <c r="B1226" t="s">
        <v>11</v>
      </c>
      <c r="C1226" t="s">
        <v>24</v>
      </c>
      <c r="D1226" t="s">
        <v>19</v>
      </c>
      <c r="E1226" t="s">
        <v>14</v>
      </c>
      <c r="F1226" t="s">
        <v>15</v>
      </c>
      <c r="G1226">
        <v>123.82</v>
      </c>
      <c r="H1226">
        <v>2</v>
      </c>
      <c r="I1226">
        <v>176.05</v>
      </c>
      <c r="J1226">
        <v>2</v>
      </c>
      <c r="K1226">
        <v>0.15</v>
      </c>
    </row>
    <row r="1227" spans="1:11" x14ac:dyDescent="0.3">
      <c r="A1227" s="1">
        <v>45153</v>
      </c>
      <c r="B1227" t="s">
        <v>17</v>
      </c>
      <c r="C1227" t="s">
        <v>18</v>
      </c>
      <c r="D1227" t="s">
        <v>28</v>
      </c>
      <c r="E1227" t="s">
        <v>20</v>
      </c>
      <c r="F1227" t="s">
        <v>16</v>
      </c>
      <c r="G1227">
        <v>46.9</v>
      </c>
      <c r="H1227">
        <v>1</v>
      </c>
      <c r="I1227">
        <v>40.65</v>
      </c>
      <c r="J1227">
        <v>0</v>
      </c>
      <c r="K1227">
        <v>-6.25</v>
      </c>
    </row>
    <row r="1228" spans="1:11" x14ac:dyDescent="0.3">
      <c r="A1228" s="1">
        <v>45108</v>
      </c>
      <c r="B1228" t="s">
        <v>17</v>
      </c>
      <c r="C1228" t="s">
        <v>12</v>
      </c>
      <c r="D1228" t="s">
        <v>25</v>
      </c>
      <c r="E1228" t="s">
        <v>20</v>
      </c>
      <c r="F1228" t="s">
        <v>26</v>
      </c>
      <c r="G1228">
        <v>127.19</v>
      </c>
      <c r="H1228">
        <v>14</v>
      </c>
      <c r="I1228">
        <v>1254.5999999999999</v>
      </c>
      <c r="J1228">
        <v>2</v>
      </c>
      <c r="K1228">
        <v>1067.72</v>
      </c>
    </row>
    <row r="1229" spans="1:11" x14ac:dyDescent="0.3">
      <c r="A1229" s="1">
        <v>45212</v>
      </c>
      <c r="B1229" t="s">
        <v>23</v>
      </c>
      <c r="C1229" t="s">
        <v>29</v>
      </c>
      <c r="D1229" t="s">
        <v>19</v>
      </c>
      <c r="E1229" t="s">
        <v>20</v>
      </c>
      <c r="F1229" t="s">
        <v>15</v>
      </c>
      <c r="G1229">
        <v>199.06</v>
      </c>
      <c r="H1229">
        <v>4</v>
      </c>
      <c r="I1229">
        <v>208.04</v>
      </c>
      <c r="J1229">
        <v>1</v>
      </c>
      <c r="K1229">
        <v>-35.85</v>
      </c>
    </row>
    <row r="1230" spans="1:11" x14ac:dyDescent="0.3">
      <c r="A1230" s="1">
        <v>44982</v>
      </c>
      <c r="B1230" t="s">
        <v>21</v>
      </c>
      <c r="C1230" t="s">
        <v>24</v>
      </c>
      <c r="D1230" t="s">
        <v>28</v>
      </c>
      <c r="E1230" t="s">
        <v>20</v>
      </c>
      <c r="F1230" t="s">
        <v>26</v>
      </c>
      <c r="G1230">
        <v>198.71</v>
      </c>
      <c r="H1230">
        <v>3</v>
      </c>
      <c r="I1230">
        <v>37.69</v>
      </c>
      <c r="J1230">
        <v>3</v>
      </c>
      <c r="K1230">
        <v>-267.82</v>
      </c>
    </row>
    <row r="1231" spans="1:11" x14ac:dyDescent="0.3">
      <c r="A1231" s="1">
        <v>44932</v>
      </c>
      <c r="B1231" t="s">
        <v>21</v>
      </c>
      <c r="C1231" t="s">
        <v>12</v>
      </c>
      <c r="D1231" t="s">
        <v>13</v>
      </c>
      <c r="E1231" t="s">
        <v>14</v>
      </c>
      <c r="F1231" t="s">
        <v>22</v>
      </c>
      <c r="G1231">
        <v>102.42</v>
      </c>
      <c r="H1231">
        <v>4</v>
      </c>
      <c r="I1231">
        <v>291.02</v>
      </c>
      <c r="J1231">
        <v>3</v>
      </c>
      <c r="K1231">
        <v>59.24</v>
      </c>
    </row>
    <row r="1232" spans="1:11" x14ac:dyDescent="0.3">
      <c r="A1232" s="1">
        <v>44961</v>
      </c>
      <c r="B1232" t="s">
        <v>21</v>
      </c>
      <c r="C1232" t="s">
        <v>18</v>
      </c>
      <c r="D1232" t="s">
        <v>27</v>
      </c>
      <c r="E1232" t="s">
        <v>14</v>
      </c>
      <c r="F1232" t="s">
        <v>16</v>
      </c>
      <c r="G1232">
        <v>198.65</v>
      </c>
      <c r="H1232">
        <v>16</v>
      </c>
      <c r="I1232">
        <v>1513.2</v>
      </c>
      <c r="J1232">
        <v>1</v>
      </c>
      <c r="K1232">
        <v>1301.79</v>
      </c>
    </row>
    <row r="1233" spans="1:11" x14ac:dyDescent="0.3">
      <c r="A1233" s="1">
        <v>45131</v>
      </c>
      <c r="B1233" t="s">
        <v>17</v>
      </c>
      <c r="C1233" t="s">
        <v>18</v>
      </c>
      <c r="D1233" t="s">
        <v>27</v>
      </c>
      <c r="E1233" t="s">
        <v>14</v>
      </c>
      <c r="F1233" t="s">
        <v>16</v>
      </c>
      <c r="G1233">
        <v>139.27000000000001</v>
      </c>
      <c r="H1233">
        <v>20</v>
      </c>
      <c r="I1233">
        <v>1469.17</v>
      </c>
      <c r="J1233">
        <v>3</v>
      </c>
      <c r="K1233">
        <v>1202.5</v>
      </c>
    </row>
    <row r="1234" spans="1:11" x14ac:dyDescent="0.3">
      <c r="A1234" s="1">
        <v>45065</v>
      </c>
      <c r="B1234" t="s">
        <v>11</v>
      </c>
      <c r="C1234" t="s">
        <v>12</v>
      </c>
      <c r="D1234" t="s">
        <v>27</v>
      </c>
      <c r="E1234" t="s">
        <v>14</v>
      </c>
      <c r="F1234" t="s">
        <v>26</v>
      </c>
      <c r="G1234">
        <v>28.69</v>
      </c>
      <c r="H1234">
        <v>13</v>
      </c>
      <c r="I1234">
        <v>402.85</v>
      </c>
      <c r="J1234">
        <v>1</v>
      </c>
      <c r="K1234">
        <v>358.78</v>
      </c>
    </row>
    <row r="1235" spans="1:11" x14ac:dyDescent="0.3">
      <c r="A1235" s="1">
        <v>45271</v>
      </c>
      <c r="B1235" t="s">
        <v>21</v>
      </c>
      <c r="C1235" t="s">
        <v>29</v>
      </c>
      <c r="D1235" t="s">
        <v>28</v>
      </c>
      <c r="E1235" t="s">
        <v>14</v>
      </c>
      <c r="F1235" t="s">
        <v>16</v>
      </c>
      <c r="G1235">
        <v>96.64</v>
      </c>
      <c r="H1235">
        <v>5</v>
      </c>
      <c r="I1235">
        <v>441.63</v>
      </c>
      <c r="J1235">
        <v>2</v>
      </c>
      <c r="K1235">
        <v>327.67</v>
      </c>
    </row>
    <row r="1236" spans="1:11" x14ac:dyDescent="0.3">
      <c r="A1236" s="1">
        <v>45228</v>
      </c>
      <c r="B1236" t="s">
        <v>23</v>
      </c>
      <c r="C1236" t="s">
        <v>29</v>
      </c>
      <c r="D1236" t="s">
        <v>19</v>
      </c>
      <c r="E1236" t="s">
        <v>14</v>
      </c>
      <c r="F1236" t="s">
        <v>26</v>
      </c>
      <c r="G1236">
        <v>110.61</v>
      </c>
      <c r="H1236">
        <v>14</v>
      </c>
      <c r="I1236">
        <v>204.34</v>
      </c>
      <c r="J1236">
        <v>0</v>
      </c>
      <c r="K1236">
        <v>93.73</v>
      </c>
    </row>
    <row r="1237" spans="1:11" x14ac:dyDescent="0.3">
      <c r="A1237" s="1">
        <v>44954</v>
      </c>
      <c r="B1237" t="s">
        <v>21</v>
      </c>
      <c r="C1237" t="s">
        <v>24</v>
      </c>
      <c r="D1237" t="s">
        <v>19</v>
      </c>
      <c r="E1237" t="s">
        <v>20</v>
      </c>
      <c r="F1237" t="s">
        <v>16</v>
      </c>
      <c r="G1237">
        <v>182.22</v>
      </c>
      <c r="H1237">
        <v>8</v>
      </c>
      <c r="I1237">
        <v>615.36</v>
      </c>
      <c r="J1237">
        <v>0</v>
      </c>
      <c r="K1237">
        <v>433.14</v>
      </c>
    </row>
    <row r="1238" spans="1:11" x14ac:dyDescent="0.3">
      <c r="A1238" s="1">
        <v>45280</v>
      </c>
      <c r="B1238" t="s">
        <v>21</v>
      </c>
      <c r="C1238" t="s">
        <v>29</v>
      </c>
      <c r="D1238" t="s">
        <v>19</v>
      </c>
      <c r="E1238" t="s">
        <v>20</v>
      </c>
      <c r="F1238" t="s">
        <v>22</v>
      </c>
      <c r="G1238">
        <v>179.57</v>
      </c>
      <c r="H1238">
        <v>13</v>
      </c>
      <c r="I1238">
        <v>687.55</v>
      </c>
      <c r="J1238">
        <v>2</v>
      </c>
      <c r="K1238">
        <v>423.12</v>
      </c>
    </row>
    <row r="1239" spans="1:11" x14ac:dyDescent="0.3">
      <c r="A1239" s="1">
        <v>44968</v>
      </c>
      <c r="B1239" t="s">
        <v>21</v>
      </c>
      <c r="C1239" t="s">
        <v>12</v>
      </c>
      <c r="D1239" t="s">
        <v>27</v>
      </c>
      <c r="E1239" t="s">
        <v>14</v>
      </c>
      <c r="F1239" t="s">
        <v>22</v>
      </c>
      <c r="G1239">
        <v>142.96</v>
      </c>
      <c r="H1239">
        <v>14</v>
      </c>
      <c r="I1239">
        <v>266.95</v>
      </c>
      <c r="J1239">
        <v>2</v>
      </c>
      <c r="K1239">
        <v>48.31</v>
      </c>
    </row>
    <row r="1240" spans="1:11" x14ac:dyDescent="0.3">
      <c r="A1240" s="1">
        <v>44957</v>
      </c>
      <c r="B1240" t="s">
        <v>21</v>
      </c>
      <c r="C1240" t="s">
        <v>12</v>
      </c>
      <c r="D1240" t="s">
        <v>19</v>
      </c>
      <c r="E1240" t="s">
        <v>14</v>
      </c>
      <c r="F1240" t="s">
        <v>16</v>
      </c>
      <c r="G1240">
        <v>28.59</v>
      </c>
      <c r="H1240">
        <v>1</v>
      </c>
      <c r="I1240">
        <v>45.68</v>
      </c>
      <c r="J1240">
        <v>1</v>
      </c>
      <c r="K1240">
        <v>-22.13</v>
      </c>
    </row>
    <row r="1241" spans="1:11" x14ac:dyDescent="0.3">
      <c r="A1241" s="1">
        <v>45214</v>
      </c>
      <c r="B1241" t="s">
        <v>23</v>
      </c>
      <c r="C1241" t="s">
        <v>12</v>
      </c>
      <c r="D1241" t="s">
        <v>25</v>
      </c>
      <c r="E1241" t="s">
        <v>14</v>
      </c>
      <c r="F1241" t="s">
        <v>26</v>
      </c>
      <c r="G1241">
        <v>47.35</v>
      </c>
      <c r="H1241">
        <v>9</v>
      </c>
      <c r="I1241">
        <v>348.75</v>
      </c>
      <c r="J1241">
        <v>1</v>
      </c>
      <c r="K1241">
        <v>286.29000000000002</v>
      </c>
    </row>
    <row r="1242" spans="1:11" x14ac:dyDescent="0.3">
      <c r="A1242" s="1">
        <v>45286</v>
      </c>
      <c r="B1242" t="s">
        <v>21</v>
      </c>
      <c r="C1242" t="s">
        <v>18</v>
      </c>
      <c r="D1242" t="s">
        <v>27</v>
      </c>
      <c r="E1242" t="s">
        <v>14</v>
      </c>
      <c r="F1242" t="s">
        <v>16</v>
      </c>
      <c r="G1242">
        <v>58.17</v>
      </c>
      <c r="H1242">
        <v>13</v>
      </c>
      <c r="I1242">
        <v>959.55</v>
      </c>
      <c r="J1242">
        <v>3</v>
      </c>
      <c r="K1242">
        <v>839.82</v>
      </c>
    </row>
    <row r="1243" spans="1:11" x14ac:dyDescent="0.3">
      <c r="A1243" s="1">
        <v>45246</v>
      </c>
      <c r="B1243" t="s">
        <v>23</v>
      </c>
      <c r="C1243" t="s">
        <v>29</v>
      </c>
      <c r="D1243" t="s">
        <v>19</v>
      </c>
      <c r="E1243" t="s">
        <v>14</v>
      </c>
      <c r="F1243" t="s">
        <v>15</v>
      </c>
      <c r="G1243">
        <v>143.96</v>
      </c>
      <c r="H1243">
        <v>9</v>
      </c>
      <c r="I1243">
        <v>583.37</v>
      </c>
      <c r="J1243">
        <v>3</v>
      </c>
      <c r="K1243">
        <v>308.26</v>
      </c>
    </row>
    <row r="1244" spans="1:11" x14ac:dyDescent="0.3">
      <c r="A1244" s="1">
        <v>45261</v>
      </c>
      <c r="B1244" t="s">
        <v>21</v>
      </c>
      <c r="C1244" t="s">
        <v>12</v>
      </c>
      <c r="D1244" t="s">
        <v>28</v>
      </c>
      <c r="E1244" t="s">
        <v>14</v>
      </c>
      <c r="F1244" t="s">
        <v>26</v>
      </c>
      <c r="G1244">
        <v>21.48</v>
      </c>
      <c r="H1244">
        <v>12</v>
      </c>
      <c r="I1244">
        <v>299.33999999999997</v>
      </c>
      <c r="J1244">
        <v>2</v>
      </c>
      <c r="K1244">
        <v>213.68</v>
      </c>
    </row>
    <row r="1245" spans="1:11" x14ac:dyDescent="0.3">
      <c r="A1245" s="1">
        <v>44963</v>
      </c>
      <c r="B1245" t="s">
        <v>21</v>
      </c>
      <c r="C1245" t="s">
        <v>12</v>
      </c>
      <c r="D1245" t="s">
        <v>25</v>
      </c>
      <c r="E1245" t="s">
        <v>20</v>
      </c>
      <c r="F1245" t="s">
        <v>26</v>
      </c>
      <c r="G1245">
        <v>172.88</v>
      </c>
      <c r="H1245">
        <v>5</v>
      </c>
      <c r="I1245">
        <v>291.49</v>
      </c>
      <c r="J1245">
        <v>2</v>
      </c>
      <c r="K1245">
        <v>106.3</v>
      </c>
    </row>
    <row r="1246" spans="1:11" x14ac:dyDescent="0.3">
      <c r="A1246" s="1">
        <v>45213</v>
      </c>
      <c r="B1246" t="s">
        <v>23</v>
      </c>
      <c r="C1246" t="s">
        <v>18</v>
      </c>
      <c r="D1246" t="s">
        <v>25</v>
      </c>
      <c r="E1246" t="s">
        <v>20</v>
      </c>
      <c r="F1246" t="s">
        <v>16</v>
      </c>
      <c r="G1246">
        <v>90.3</v>
      </c>
      <c r="H1246">
        <v>4</v>
      </c>
      <c r="I1246">
        <v>97.39</v>
      </c>
      <c r="J1246">
        <v>0</v>
      </c>
      <c r="K1246">
        <v>7.09</v>
      </c>
    </row>
    <row r="1247" spans="1:11" x14ac:dyDescent="0.3">
      <c r="A1247" s="1">
        <v>45241</v>
      </c>
      <c r="B1247" t="s">
        <v>23</v>
      </c>
      <c r="C1247" t="s">
        <v>12</v>
      </c>
      <c r="D1247" t="s">
        <v>13</v>
      </c>
      <c r="E1247" t="s">
        <v>14</v>
      </c>
      <c r="F1247" t="s">
        <v>22</v>
      </c>
      <c r="G1247">
        <v>188.48</v>
      </c>
      <c r="H1247">
        <v>16</v>
      </c>
      <c r="I1247">
        <v>1508.38</v>
      </c>
      <c r="J1247">
        <v>3</v>
      </c>
      <c r="K1247">
        <v>1199.56</v>
      </c>
    </row>
    <row r="1248" spans="1:11" x14ac:dyDescent="0.3">
      <c r="A1248" s="1">
        <v>45237</v>
      </c>
      <c r="B1248" t="s">
        <v>23</v>
      </c>
      <c r="C1248" t="s">
        <v>12</v>
      </c>
      <c r="D1248" t="s">
        <v>25</v>
      </c>
      <c r="E1248" t="s">
        <v>20</v>
      </c>
      <c r="F1248" t="s">
        <v>26</v>
      </c>
      <c r="G1248">
        <v>122.74</v>
      </c>
      <c r="H1248">
        <v>9</v>
      </c>
      <c r="I1248">
        <v>508.46</v>
      </c>
      <c r="J1248">
        <v>3</v>
      </c>
      <c r="K1248">
        <v>261.70999999999998</v>
      </c>
    </row>
    <row r="1249" spans="1:11" x14ac:dyDescent="0.3">
      <c r="A1249" s="1">
        <v>45231</v>
      </c>
      <c r="B1249" t="s">
        <v>23</v>
      </c>
      <c r="C1249" t="s">
        <v>29</v>
      </c>
      <c r="D1249" t="s">
        <v>27</v>
      </c>
      <c r="E1249" t="s">
        <v>14</v>
      </c>
      <c r="F1249" t="s">
        <v>15</v>
      </c>
      <c r="G1249">
        <v>115.83</v>
      </c>
      <c r="H1249">
        <v>8</v>
      </c>
      <c r="I1249">
        <v>89.83</v>
      </c>
      <c r="J1249">
        <v>3</v>
      </c>
      <c r="K1249">
        <v>-102.11</v>
      </c>
    </row>
    <row r="1250" spans="1:11" x14ac:dyDescent="0.3">
      <c r="A1250" s="1">
        <v>45264</v>
      </c>
      <c r="B1250" t="s">
        <v>21</v>
      </c>
      <c r="C1250" t="s">
        <v>29</v>
      </c>
      <c r="D1250" t="s">
        <v>25</v>
      </c>
      <c r="E1250" t="s">
        <v>20</v>
      </c>
      <c r="F1250" t="s">
        <v>22</v>
      </c>
      <c r="G1250">
        <v>167.64</v>
      </c>
      <c r="H1250">
        <v>7</v>
      </c>
      <c r="I1250">
        <v>504.42</v>
      </c>
      <c r="J1250">
        <v>0</v>
      </c>
      <c r="K1250">
        <v>336.78</v>
      </c>
    </row>
    <row r="1251" spans="1:11" x14ac:dyDescent="0.3">
      <c r="A1251" s="1">
        <v>44996</v>
      </c>
      <c r="B1251" t="s">
        <v>11</v>
      </c>
      <c r="C1251" t="s">
        <v>12</v>
      </c>
      <c r="D1251" t="s">
        <v>25</v>
      </c>
      <c r="E1251" t="s">
        <v>14</v>
      </c>
      <c r="F1251" t="s">
        <v>26</v>
      </c>
      <c r="G1251">
        <v>71.14</v>
      </c>
      <c r="H1251">
        <v>14</v>
      </c>
      <c r="I1251">
        <v>799.05</v>
      </c>
      <c r="J1251">
        <v>1</v>
      </c>
      <c r="K1251">
        <v>714.27</v>
      </c>
    </row>
    <row r="1252" spans="1:11" x14ac:dyDescent="0.3">
      <c r="A1252" s="1">
        <v>44968</v>
      </c>
      <c r="B1252" t="s">
        <v>21</v>
      </c>
      <c r="C1252" t="s">
        <v>12</v>
      </c>
      <c r="D1252" t="s">
        <v>25</v>
      </c>
      <c r="E1252" t="s">
        <v>14</v>
      </c>
      <c r="F1252" t="s">
        <v>16</v>
      </c>
      <c r="G1252">
        <v>164.13</v>
      </c>
      <c r="H1252">
        <v>18</v>
      </c>
      <c r="I1252">
        <v>1049.3399999999999</v>
      </c>
      <c r="J1252">
        <v>3</v>
      </c>
      <c r="K1252">
        <v>852.33</v>
      </c>
    </row>
    <row r="1253" spans="1:11" x14ac:dyDescent="0.3">
      <c r="A1253" s="1">
        <v>45162</v>
      </c>
      <c r="B1253" t="s">
        <v>17</v>
      </c>
      <c r="C1253" t="s">
        <v>12</v>
      </c>
      <c r="D1253" t="s">
        <v>13</v>
      </c>
      <c r="E1253" t="s">
        <v>20</v>
      </c>
      <c r="F1253" t="s">
        <v>16</v>
      </c>
      <c r="G1253">
        <v>31.61</v>
      </c>
      <c r="H1253">
        <v>19</v>
      </c>
      <c r="I1253">
        <v>463.42</v>
      </c>
      <c r="J1253">
        <v>0</v>
      </c>
      <c r="K1253">
        <v>431.81</v>
      </c>
    </row>
    <row r="1254" spans="1:11" x14ac:dyDescent="0.3">
      <c r="A1254" s="1">
        <v>45259</v>
      </c>
      <c r="B1254" t="s">
        <v>23</v>
      </c>
      <c r="C1254" t="s">
        <v>12</v>
      </c>
      <c r="D1254" t="s">
        <v>13</v>
      </c>
      <c r="E1254" t="s">
        <v>20</v>
      </c>
      <c r="F1254" t="s">
        <v>26</v>
      </c>
      <c r="G1254">
        <v>5.78</v>
      </c>
      <c r="H1254">
        <v>16</v>
      </c>
      <c r="I1254">
        <v>544.65</v>
      </c>
      <c r="J1254">
        <v>3</v>
      </c>
      <c r="K1254">
        <v>520</v>
      </c>
    </row>
    <row r="1255" spans="1:11" x14ac:dyDescent="0.3">
      <c r="A1255" s="1">
        <v>45160</v>
      </c>
      <c r="B1255" t="s">
        <v>17</v>
      </c>
      <c r="C1255" t="s">
        <v>18</v>
      </c>
      <c r="D1255" t="s">
        <v>25</v>
      </c>
      <c r="E1255" t="s">
        <v>20</v>
      </c>
      <c r="F1255" t="s">
        <v>22</v>
      </c>
      <c r="G1255">
        <v>117.35</v>
      </c>
      <c r="H1255">
        <v>18</v>
      </c>
      <c r="I1255">
        <v>765.09</v>
      </c>
      <c r="J1255">
        <v>0</v>
      </c>
      <c r="K1255">
        <v>647.74</v>
      </c>
    </row>
    <row r="1256" spans="1:11" x14ac:dyDescent="0.3">
      <c r="A1256" s="1">
        <v>45024</v>
      </c>
      <c r="B1256" t="s">
        <v>11</v>
      </c>
      <c r="C1256" t="s">
        <v>12</v>
      </c>
      <c r="D1256" t="s">
        <v>28</v>
      </c>
      <c r="E1256" t="s">
        <v>14</v>
      </c>
      <c r="F1256" t="s">
        <v>15</v>
      </c>
      <c r="G1256">
        <v>190.92</v>
      </c>
      <c r="H1256">
        <v>18</v>
      </c>
      <c r="I1256">
        <v>1290.56</v>
      </c>
      <c r="J1256">
        <v>0</v>
      </c>
      <c r="K1256">
        <v>1099.6400000000001</v>
      </c>
    </row>
    <row r="1257" spans="1:11" x14ac:dyDescent="0.3">
      <c r="A1257" s="1">
        <v>44992</v>
      </c>
      <c r="B1257" t="s">
        <v>11</v>
      </c>
      <c r="C1257" t="s">
        <v>12</v>
      </c>
      <c r="D1257" t="s">
        <v>25</v>
      </c>
      <c r="E1257" t="s">
        <v>14</v>
      </c>
      <c r="F1257" t="s">
        <v>15</v>
      </c>
      <c r="G1257">
        <v>197.52</v>
      </c>
      <c r="H1257">
        <v>6</v>
      </c>
      <c r="I1257">
        <v>509.83</v>
      </c>
      <c r="J1257">
        <v>0</v>
      </c>
      <c r="K1257">
        <v>312.31</v>
      </c>
    </row>
    <row r="1258" spans="1:11" x14ac:dyDescent="0.3">
      <c r="A1258" s="1">
        <v>45090</v>
      </c>
      <c r="B1258" t="s">
        <v>17</v>
      </c>
      <c r="C1258" t="s">
        <v>29</v>
      </c>
      <c r="D1258" t="s">
        <v>28</v>
      </c>
      <c r="E1258" t="s">
        <v>20</v>
      </c>
      <c r="F1258" t="s">
        <v>15</v>
      </c>
      <c r="G1258">
        <v>175.49</v>
      </c>
      <c r="H1258">
        <v>1</v>
      </c>
      <c r="I1258">
        <v>83.01</v>
      </c>
      <c r="J1258">
        <v>1</v>
      </c>
      <c r="K1258">
        <v>-111.99</v>
      </c>
    </row>
    <row r="1259" spans="1:11" x14ac:dyDescent="0.3">
      <c r="A1259" s="1">
        <v>44982</v>
      </c>
      <c r="B1259" t="s">
        <v>21</v>
      </c>
      <c r="C1259" t="s">
        <v>29</v>
      </c>
      <c r="D1259" t="s">
        <v>13</v>
      </c>
      <c r="E1259" t="s">
        <v>20</v>
      </c>
      <c r="F1259" t="s">
        <v>26</v>
      </c>
      <c r="G1259">
        <v>171.47</v>
      </c>
      <c r="H1259">
        <v>10</v>
      </c>
      <c r="I1259">
        <v>766.15</v>
      </c>
      <c r="J1259">
        <v>3</v>
      </c>
      <c r="K1259">
        <v>491.3</v>
      </c>
    </row>
    <row r="1260" spans="1:11" x14ac:dyDescent="0.3">
      <c r="A1260" s="1">
        <v>45188</v>
      </c>
      <c r="B1260" t="s">
        <v>23</v>
      </c>
      <c r="C1260" t="s">
        <v>24</v>
      </c>
      <c r="D1260" t="s">
        <v>13</v>
      </c>
      <c r="E1260" t="s">
        <v>14</v>
      </c>
      <c r="F1260" t="s">
        <v>15</v>
      </c>
      <c r="G1260">
        <v>85.8</v>
      </c>
      <c r="H1260">
        <v>11</v>
      </c>
      <c r="I1260">
        <v>673.95</v>
      </c>
      <c r="J1260">
        <v>1</v>
      </c>
      <c r="K1260">
        <v>545.49</v>
      </c>
    </row>
    <row r="1261" spans="1:11" x14ac:dyDescent="0.3">
      <c r="A1261" s="1">
        <v>45180</v>
      </c>
      <c r="B1261" t="s">
        <v>23</v>
      </c>
      <c r="C1261" t="s">
        <v>29</v>
      </c>
      <c r="D1261" t="s">
        <v>28</v>
      </c>
      <c r="E1261" t="s">
        <v>14</v>
      </c>
      <c r="F1261" t="s">
        <v>26</v>
      </c>
      <c r="G1261">
        <v>160.25</v>
      </c>
      <c r="H1261">
        <v>17</v>
      </c>
      <c r="I1261">
        <v>1382.9</v>
      </c>
      <c r="J1261">
        <v>2</v>
      </c>
      <c r="K1261">
        <v>1187.28</v>
      </c>
    </row>
    <row r="1262" spans="1:11" x14ac:dyDescent="0.3">
      <c r="A1262" s="1">
        <v>45061</v>
      </c>
      <c r="B1262" t="s">
        <v>11</v>
      </c>
      <c r="C1262" t="s">
        <v>24</v>
      </c>
      <c r="D1262" t="s">
        <v>28</v>
      </c>
      <c r="E1262" t="s">
        <v>14</v>
      </c>
      <c r="F1262" t="s">
        <v>16</v>
      </c>
      <c r="G1262">
        <v>181.59</v>
      </c>
      <c r="H1262">
        <v>2</v>
      </c>
      <c r="I1262">
        <v>91.84</v>
      </c>
      <c r="J1262">
        <v>0</v>
      </c>
      <c r="K1262">
        <v>-89.75</v>
      </c>
    </row>
    <row r="1263" spans="1:11" x14ac:dyDescent="0.3">
      <c r="A1263" s="1">
        <v>45098</v>
      </c>
      <c r="B1263" t="s">
        <v>17</v>
      </c>
      <c r="C1263" t="s">
        <v>29</v>
      </c>
      <c r="D1263" t="s">
        <v>25</v>
      </c>
      <c r="E1263" t="s">
        <v>20</v>
      </c>
      <c r="F1263" t="s">
        <v>15</v>
      </c>
      <c r="G1263">
        <v>78.33</v>
      </c>
      <c r="H1263">
        <v>9</v>
      </c>
      <c r="I1263">
        <v>756.91</v>
      </c>
      <c r="J1263">
        <v>1</v>
      </c>
      <c r="K1263">
        <v>665.49</v>
      </c>
    </row>
    <row r="1264" spans="1:11" x14ac:dyDescent="0.3">
      <c r="A1264" s="1">
        <v>44938</v>
      </c>
      <c r="B1264" t="s">
        <v>21</v>
      </c>
      <c r="C1264" t="s">
        <v>18</v>
      </c>
      <c r="D1264" t="s">
        <v>13</v>
      </c>
      <c r="E1264" t="s">
        <v>20</v>
      </c>
      <c r="F1264" t="s">
        <v>16</v>
      </c>
      <c r="G1264">
        <v>60.4</v>
      </c>
      <c r="H1264">
        <v>7</v>
      </c>
      <c r="I1264">
        <v>661.1</v>
      </c>
      <c r="J1264">
        <v>2</v>
      </c>
      <c r="K1264">
        <v>521.67999999999995</v>
      </c>
    </row>
    <row r="1265" spans="1:11" x14ac:dyDescent="0.3">
      <c r="A1265" s="1">
        <v>45246</v>
      </c>
      <c r="B1265" t="s">
        <v>23</v>
      </c>
      <c r="C1265" t="s">
        <v>12</v>
      </c>
      <c r="D1265" t="s">
        <v>13</v>
      </c>
      <c r="E1265" t="s">
        <v>14</v>
      </c>
      <c r="F1265" t="s">
        <v>26</v>
      </c>
      <c r="G1265">
        <v>153.66999999999999</v>
      </c>
      <c r="H1265">
        <v>7</v>
      </c>
      <c r="I1265">
        <v>601.62</v>
      </c>
      <c r="J1265">
        <v>2</v>
      </c>
      <c r="K1265">
        <v>386.04</v>
      </c>
    </row>
    <row r="1266" spans="1:11" x14ac:dyDescent="0.3">
      <c r="A1266" s="1">
        <v>45043</v>
      </c>
      <c r="B1266" t="s">
        <v>11</v>
      </c>
      <c r="C1266" t="s">
        <v>18</v>
      </c>
      <c r="D1266" t="s">
        <v>27</v>
      </c>
      <c r="E1266" t="s">
        <v>20</v>
      </c>
      <c r="F1266" t="s">
        <v>16</v>
      </c>
      <c r="G1266">
        <v>104</v>
      </c>
      <c r="H1266">
        <v>1</v>
      </c>
      <c r="I1266">
        <v>10.1</v>
      </c>
      <c r="J1266">
        <v>0</v>
      </c>
      <c r="K1266">
        <v>-93.9</v>
      </c>
    </row>
    <row r="1267" spans="1:11" x14ac:dyDescent="0.3">
      <c r="A1267" s="1">
        <v>45158</v>
      </c>
      <c r="B1267" t="s">
        <v>17</v>
      </c>
      <c r="C1267" t="s">
        <v>18</v>
      </c>
      <c r="D1267" t="s">
        <v>25</v>
      </c>
      <c r="E1267" t="s">
        <v>20</v>
      </c>
      <c r="F1267" t="s">
        <v>22</v>
      </c>
      <c r="G1267">
        <v>37.71</v>
      </c>
      <c r="H1267">
        <v>20</v>
      </c>
      <c r="I1267">
        <v>1849.41</v>
      </c>
      <c r="J1267">
        <v>3</v>
      </c>
      <c r="K1267">
        <v>1679.73</v>
      </c>
    </row>
    <row r="1268" spans="1:11" x14ac:dyDescent="0.3">
      <c r="A1268" s="1">
        <v>45199</v>
      </c>
      <c r="B1268" t="s">
        <v>23</v>
      </c>
      <c r="C1268" t="s">
        <v>24</v>
      </c>
      <c r="D1268" t="s">
        <v>19</v>
      </c>
      <c r="E1268" t="s">
        <v>20</v>
      </c>
      <c r="F1268" t="s">
        <v>26</v>
      </c>
      <c r="G1268">
        <v>179.92</v>
      </c>
      <c r="H1268">
        <v>3</v>
      </c>
      <c r="I1268">
        <v>152.21</v>
      </c>
      <c r="J1268">
        <v>3</v>
      </c>
      <c r="K1268">
        <v>-161.38999999999999</v>
      </c>
    </row>
    <row r="1269" spans="1:11" x14ac:dyDescent="0.3">
      <c r="A1269" s="1">
        <v>45038</v>
      </c>
      <c r="B1269" t="s">
        <v>11</v>
      </c>
      <c r="C1269" t="s">
        <v>24</v>
      </c>
      <c r="D1269" t="s">
        <v>19</v>
      </c>
      <c r="E1269" t="s">
        <v>14</v>
      </c>
      <c r="F1269" t="s">
        <v>15</v>
      </c>
      <c r="G1269">
        <v>93.59</v>
      </c>
      <c r="H1269">
        <v>4</v>
      </c>
      <c r="I1269">
        <v>301.77999999999997</v>
      </c>
      <c r="J1269">
        <v>1</v>
      </c>
      <c r="K1269">
        <v>189.66</v>
      </c>
    </row>
    <row r="1270" spans="1:11" x14ac:dyDescent="0.3">
      <c r="A1270" s="1">
        <v>45141</v>
      </c>
      <c r="B1270" t="s">
        <v>17</v>
      </c>
      <c r="C1270" t="s">
        <v>12</v>
      </c>
      <c r="D1270" t="s">
        <v>27</v>
      </c>
      <c r="E1270" t="s">
        <v>14</v>
      </c>
      <c r="F1270" t="s">
        <v>26</v>
      </c>
      <c r="G1270">
        <v>74.290000000000006</v>
      </c>
      <c r="H1270">
        <v>10</v>
      </c>
      <c r="I1270">
        <v>211.26</v>
      </c>
      <c r="J1270">
        <v>1</v>
      </c>
      <c r="K1270">
        <v>91.49</v>
      </c>
    </row>
    <row r="1271" spans="1:11" x14ac:dyDescent="0.3">
      <c r="A1271" s="1">
        <v>45290</v>
      </c>
      <c r="B1271" t="s">
        <v>21</v>
      </c>
      <c r="C1271" t="s">
        <v>12</v>
      </c>
      <c r="D1271" t="s">
        <v>19</v>
      </c>
      <c r="E1271" t="s">
        <v>14</v>
      </c>
      <c r="F1271" t="s">
        <v>26</v>
      </c>
      <c r="G1271">
        <v>105.4</v>
      </c>
      <c r="H1271">
        <v>7</v>
      </c>
      <c r="I1271">
        <v>393.38</v>
      </c>
      <c r="J1271">
        <v>0</v>
      </c>
      <c r="K1271">
        <v>287.98</v>
      </c>
    </row>
    <row r="1272" spans="1:11" x14ac:dyDescent="0.3">
      <c r="A1272" s="1">
        <v>45260</v>
      </c>
      <c r="B1272" t="s">
        <v>23</v>
      </c>
      <c r="C1272" t="s">
        <v>24</v>
      </c>
      <c r="D1272" t="s">
        <v>28</v>
      </c>
      <c r="E1272" t="s">
        <v>20</v>
      </c>
      <c r="F1272" t="s">
        <v>22</v>
      </c>
      <c r="G1272">
        <v>18.54</v>
      </c>
      <c r="H1272">
        <v>1</v>
      </c>
      <c r="I1272">
        <v>53.24</v>
      </c>
      <c r="J1272">
        <v>0</v>
      </c>
      <c r="K1272">
        <v>34.700000000000003</v>
      </c>
    </row>
    <row r="1273" spans="1:11" x14ac:dyDescent="0.3">
      <c r="A1273" s="1">
        <v>45198</v>
      </c>
      <c r="B1273" t="s">
        <v>23</v>
      </c>
      <c r="C1273" t="s">
        <v>24</v>
      </c>
      <c r="D1273" t="s">
        <v>27</v>
      </c>
      <c r="E1273" t="s">
        <v>14</v>
      </c>
      <c r="F1273" t="s">
        <v>22</v>
      </c>
      <c r="G1273">
        <v>37.44</v>
      </c>
      <c r="H1273">
        <v>17</v>
      </c>
      <c r="I1273">
        <v>1009.37</v>
      </c>
      <c r="J1273">
        <v>0</v>
      </c>
      <c r="K1273">
        <v>971.93</v>
      </c>
    </row>
    <row r="1274" spans="1:11" x14ac:dyDescent="0.3">
      <c r="A1274" s="1">
        <v>45149</v>
      </c>
      <c r="B1274" t="s">
        <v>17</v>
      </c>
      <c r="C1274" t="s">
        <v>12</v>
      </c>
      <c r="D1274" t="s">
        <v>28</v>
      </c>
      <c r="E1274" t="s">
        <v>20</v>
      </c>
      <c r="F1274" t="s">
        <v>22</v>
      </c>
      <c r="G1274">
        <v>102.97</v>
      </c>
      <c r="H1274">
        <v>2</v>
      </c>
      <c r="I1274">
        <v>30.34</v>
      </c>
      <c r="J1274">
        <v>1</v>
      </c>
      <c r="K1274">
        <v>-82.41</v>
      </c>
    </row>
    <row r="1275" spans="1:11" x14ac:dyDescent="0.3">
      <c r="A1275" s="1">
        <v>45209</v>
      </c>
      <c r="B1275" t="s">
        <v>23</v>
      </c>
      <c r="C1275" t="s">
        <v>24</v>
      </c>
      <c r="D1275" t="s">
        <v>13</v>
      </c>
      <c r="E1275" t="s">
        <v>14</v>
      </c>
      <c r="F1275" t="s">
        <v>15</v>
      </c>
      <c r="G1275">
        <v>113.5</v>
      </c>
      <c r="H1275">
        <v>13</v>
      </c>
      <c r="I1275">
        <v>1298.69</v>
      </c>
      <c r="J1275">
        <v>2</v>
      </c>
      <c r="K1275">
        <v>1121.8399999999999</v>
      </c>
    </row>
    <row r="1276" spans="1:11" x14ac:dyDescent="0.3">
      <c r="A1276" s="1">
        <v>45164</v>
      </c>
      <c r="B1276" t="s">
        <v>17</v>
      </c>
      <c r="C1276" t="s">
        <v>24</v>
      </c>
      <c r="D1276" t="s">
        <v>25</v>
      </c>
      <c r="E1276" t="s">
        <v>20</v>
      </c>
      <c r="F1276" t="s">
        <v>15</v>
      </c>
      <c r="G1276">
        <v>182.67</v>
      </c>
      <c r="H1276">
        <v>2</v>
      </c>
      <c r="I1276">
        <v>108.18</v>
      </c>
      <c r="J1276">
        <v>1</v>
      </c>
      <c r="K1276">
        <v>-92.57</v>
      </c>
    </row>
    <row r="1277" spans="1:11" x14ac:dyDescent="0.3">
      <c r="A1277" s="1">
        <v>44955</v>
      </c>
      <c r="B1277" t="s">
        <v>21</v>
      </c>
      <c r="C1277" t="s">
        <v>12</v>
      </c>
      <c r="D1277" t="s">
        <v>13</v>
      </c>
      <c r="E1277" t="s">
        <v>20</v>
      </c>
      <c r="F1277" t="s">
        <v>15</v>
      </c>
      <c r="G1277">
        <v>78.02</v>
      </c>
      <c r="H1277">
        <v>20</v>
      </c>
      <c r="I1277">
        <v>1456.56</v>
      </c>
      <c r="J1277">
        <v>3</v>
      </c>
      <c r="K1277">
        <v>1279.57</v>
      </c>
    </row>
    <row r="1278" spans="1:11" x14ac:dyDescent="0.3">
      <c r="A1278" s="1">
        <v>45130</v>
      </c>
      <c r="B1278" t="s">
        <v>17</v>
      </c>
      <c r="C1278" t="s">
        <v>12</v>
      </c>
      <c r="D1278" t="s">
        <v>25</v>
      </c>
      <c r="E1278" t="s">
        <v>14</v>
      </c>
      <c r="F1278" t="s">
        <v>26</v>
      </c>
      <c r="G1278">
        <v>38.03</v>
      </c>
      <c r="H1278">
        <v>1</v>
      </c>
      <c r="I1278">
        <v>68.73</v>
      </c>
      <c r="J1278">
        <v>0</v>
      </c>
      <c r="K1278">
        <v>30.7</v>
      </c>
    </row>
    <row r="1279" spans="1:11" x14ac:dyDescent="0.3">
      <c r="A1279" s="1">
        <v>45129</v>
      </c>
      <c r="B1279" t="s">
        <v>17</v>
      </c>
      <c r="C1279" t="s">
        <v>18</v>
      </c>
      <c r="D1279" t="s">
        <v>27</v>
      </c>
      <c r="E1279" t="s">
        <v>14</v>
      </c>
      <c r="F1279" t="s">
        <v>15</v>
      </c>
      <c r="G1279">
        <v>22.37</v>
      </c>
      <c r="H1279">
        <v>12</v>
      </c>
      <c r="I1279">
        <v>533.83000000000004</v>
      </c>
      <c r="J1279">
        <v>1</v>
      </c>
      <c r="K1279">
        <v>470.68</v>
      </c>
    </row>
    <row r="1280" spans="1:11" x14ac:dyDescent="0.3">
      <c r="A1280" s="1">
        <v>45280</v>
      </c>
      <c r="B1280" t="s">
        <v>21</v>
      </c>
      <c r="C1280" t="s">
        <v>18</v>
      </c>
      <c r="D1280" t="s">
        <v>28</v>
      </c>
      <c r="E1280" t="s">
        <v>14</v>
      </c>
      <c r="F1280" t="s">
        <v>15</v>
      </c>
      <c r="G1280">
        <v>198.71</v>
      </c>
      <c r="H1280">
        <v>1</v>
      </c>
      <c r="I1280">
        <v>28.72</v>
      </c>
      <c r="J1280">
        <v>0</v>
      </c>
      <c r="K1280">
        <v>-169.99</v>
      </c>
    </row>
    <row r="1281" spans="1:11" x14ac:dyDescent="0.3">
      <c r="A1281" s="1">
        <v>45224</v>
      </c>
      <c r="B1281" t="s">
        <v>23</v>
      </c>
      <c r="C1281" t="s">
        <v>29</v>
      </c>
      <c r="D1281" t="s">
        <v>27</v>
      </c>
      <c r="E1281" t="s">
        <v>20</v>
      </c>
      <c r="F1281" t="s">
        <v>16</v>
      </c>
      <c r="G1281">
        <v>54.21</v>
      </c>
      <c r="H1281">
        <v>4</v>
      </c>
      <c r="I1281">
        <v>55.03</v>
      </c>
      <c r="J1281">
        <v>1</v>
      </c>
      <c r="K1281">
        <v>-25.36</v>
      </c>
    </row>
    <row r="1282" spans="1:11" x14ac:dyDescent="0.3">
      <c r="A1282" s="1">
        <v>44943</v>
      </c>
      <c r="B1282" t="s">
        <v>21</v>
      </c>
      <c r="C1282" t="s">
        <v>24</v>
      </c>
      <c r="D1282" t="s">
        <v>19</v>
      </c>
      <c r="E1282" t="s">
        <v>20</v>
      </c>
      <c r="F1282" t="s">
        <v>26</v>
      </c>
      <c r="G1282">
        <v>149.93</v>
      </c>
      <c r="H1282">
        <v>2</v>
      </c>
      <c r="I1282">
        <v>141.44</v>
      </c>
      <c r="J1282">
        <v>0</v>
      </c>
      <c r="K1282">
        <v>-8.49</v>
      </c>
    </row>
    <row r="1283" spans="1:11" x14ac:dyDescent="0.3">
      <c r="A1283" s="1">
        <v>44932</v>
      </c>
      <c r="B1283" t="s">
        <v>21</v>
      </c>
      <c r="C1283" t="s">
        <v>24</v>
      </c>
      <c r="D1283" t="s">
        <v>28</v>
      </c>
      <c r="E1283" t="s">
        <v>14</v>
      </c>
      <c r="F1283" t="s">
        <v>16</v>
      </c>
      <c r="G1283">
        <v>165.15</v>
      </c>
      <c r="H1283">
        <v>12</v>
      </c>
      <c r="I1283">
        <v>788.18</v>
      </c>
      <c r="J1283">
        <v>2</v>
      </c>
      <c r="K1283">
        <v>544.62</v>
      </c>
    </row>
    <row r="1284" spans="1:11" x14ac:dyDescent="0.3">
      <c r="A1284" s="1">
        <v>45020</v>
      </c>
      <c r="B1284" t="s">
        <v>11</v>
      </c>
      <c r="C1284" t="s">
        <v>24</v>
      </c>
      <c r="D1284" t="s">
        <v>13</v>
      </c>
      <c r="E1284" t="s">
        <v>20</v>
      </c>
      <c r="F1284" t="s">
        <v>22</v>
      </c>
      <c r="G1284">
        <v>87.76</v>
      </c>
      <c r="H1284">
        <v>11</v>
      </c>
      <c r="I1284">
        <v>292.39</v>
      </c>
      <c r="J1284">
        <v>0</v>
      </c>
      <c r="K1284">
        <v>204.63</v>
      </c>
    </row>
    <row r="1285" spans="1:11" x14ac:dyDescent="0.3">
      <c r="A1285" s="1">
        <v>45148</v>
      </c>
      <c r="B1285" t="s">
        <v>17</v>
      </c>
      <c r="C1285" t="s">
        <v>18</v>
      </c>
      <c r="D1285" t="s">
        <v>28</v>
      </c>
      <c r="E1285" t="s">
        <v>20</v>
      </c>
      <c r="F1285" t="s">
        <v>26</v>
      </c>
      <c r="G1285">
        <v>30.06</v>
      </c>
      <c r="H1285">
        <v>17</v>
      </c>
      <c r="I1285">
        <v>808.06</v>
      </c>
      <c r="J1285">
        <v>0</v>
      </c>
      <c r="K1285">
        <v>778</v>
      </c>
    </row>
    <row r="1286" spans="1:11" x14ac:dyDescent="0.3">
      <c r="A1286" s="1">
        <v>44994</v>
      </c>
      <c r="B1286" t="s">
        <v>11</v>
      </c>
      <c r="C1286" t="s">
        <v>24</v>
      </c>
      <c r="D1286" t="s">
        <v>13</v>
      </c>
      <c r="E1286" t="s">
        <v>14</v>
      </c>
      <c r="F1286" t="s">
        <v>26</v>
      </c>
      <c r="G1286">
        <v>174.57</v>
      </c>
      <c r="H1286">
        <v>3</v>
      </c>
      <c r="I1286">
        <v>229.79</v>
      </c>
      <c r="J1286">
        <v>0</v>
      </c>
      <c r="K1286">
        <v>55.22</v>
      </c>
    </row>
    <row r="1287" spans="1:11" x14ac:dyDescent="0.3">
      <c r="A1287" s="1">
        <v>45173</v>
      </c>
      <c r="B1287" t="s">
        <v>23</v>
      </c>
      <c r="C1287" t="s">
        <v>24</v>
      </c>
      <c r="D1287" t="s">
        <v>27</v>
      </c>
      <c r="E1287" t="s">
        <v>20</v>
      </c>
      <c r="F1287" t="s">
        <v>16</v>
      </c>
      <c r="G1287">
        <v>54.46</v>
      </c>
      <c r="H1287">
        <v>18</v>
      </c>
      <c r="I1287">
        <v>459.6</v>
      </c>
      <c r="J1287">
        <v>2</v>
      </c>
      <c r="K1287">
        <v>355.02</v>
      </c>
    </row>
    <row r="1288" spans="1:11" x14ac:dyDescent="0.3">
      <c r="A1288" s="1">
        <v>44964</v>
      </c>
      <c r="B1288" t="s">
        <v>21</v>
      </c>
      <c r="C1288" t="s">
        <v>18</v>
      </c>
      <c r="D1288" t="s">
        <v>25</v>
      </c>
      <c r="E1288" t="s">
        <v>20</v>
      </c>
      <c r="F1288" t="s">
        <v>26</v>
      </c>
      <c r="G1288">
        <v>84.12</v>
      </c>
      <c r="H1288">
        <v>6</v>
      </c>
      <c r="I1288">
        <v>447.64</v>
      </c>
      <c r="J1288">
        <v>3</v>
      </c>
      <c r="K1288">
        <v>228.54</v>
      </c>
    </row>
    <row r="1289" spans="1:11" x14ac:dyDescent="0.3">
      <c r="A1289" s="1">
        <v>44979</v>
      </c>
      <c r="B1289" t="s">
        <v>21</v>
      </c>
      <c r="C1289" t="s">
        <v>12</v>
      </c>
      <c r="D1289" t="s">
        <v>28</v>
      </c>
      <c r="E1289" t="s">
        <v>14</v>
      </c>
      <c r="F1289" t="s">
        <v>15</v>
      </c>
      <c r="G1289">
        <v>118.99</v>
      </c>
      <c r="H1289">
        <v>6</v>
      </c>
      <c r="I1289">
        <v>558.88</v>
      </c>
      <c r="J1289">
        <v>1</v>
      </c>
      <c r="K1289">
        <v>393.81</v>
      </c>
    </row>
    <row r="1290" spans="1:11" x14ac:dyDescent="0.3">
      <c r="A1290" s="1">
        <v>45227</v>
      </c>
      <c r="B1290" t="s">
        <v>23</v>
      </c>
      <c r="C1290" t="s">
        <v>12</v>
      </c>
      <c r="D1290" t="s">
        <v>25</v>
      </c>
      <c r="E1290" t="s">
        <v>14</v>
      </c>
      <c r="F1290" t="s">
        <v>15</v>
      </c>
      <c r="G1290">
        <v>87.56</v>
      </c>
      <c r="H1290">
        <v>3</v>
      </c>
      <c r="I1290">
        <v>64.099999999999994</v>
      </c>
      <c r="J1290">
        <v>0</v>
      </c>
      <c r="K1290">
        <v>-23.46</v>
      </c>
    </row>
    <row r="1291" spans="1:11" x14ac:dyDescent="0.3">
      <c r="A1291" s="1">
        <v>44974</v>
      </c>
      <c r="B1291" t="s">
        <v>21</v>
      </c>
      <c r="C1291" t="s">
        <v>29</v>
      </c>
      <c r="D1291" t="s">
        <v>25</v>
      </c>
      <c r="E1291" t="s">
        <v>14</v>
      </c>
      <c r="F1291" t="s">
        <v>16</v>
      </c>
      <c r="G1291">
        <v>30.03</v>
      </c>
      <c r="H1291">
        <v>15</v>
      </c>
      <c r="I1291">
        <v>399.83</v>
      </c>
      <c r="J1291">
        <v>2</v>
      </c>
      <c r="K1291">
        <v>284.31</v>
      </c>
    </row>
    <row r="1292" spans="1:11" x14ac:dyDescent="0.3">
      <c r="A1292" s="1">
        <v>45011</v>
      </c>
      <c r="B1292" t="s">
        <v>11</v>
      </c>
      <c r="C1292" t="s">
        <v>12</v>
      </c>
      <c r="D1292" t="s">
        <v>28</v>
      </c>
      <c r="E1292" t="s">
        <v>14</v>
      </c>
      <c r="F1292" t="s">
        <v>22</v>
      </c>
      <c r="G1292">
        <v>42.9</v>
      </c>
      <c r="H1292">
        <v>6</v>
      </c>
      <c r="I1292">
        <v>116.13</v>
      </c>
      <c r="J1292">
        <v>1</v>
      </c>
      <c r="K1292">
        <v>33.909999999999997</v>
      </c>
    </row>
    <row r="1293" spans="1:11" x14ac:dyDescent="0.3">
      <c r="A1293" s="1">
        <v>45127</v>
      </c>
      <c r="B1293" t="s">
        <v>17</v>
      </c>
      <c r="C1293" t="s">
        <v>12</v>
      </c>
      <c r="D1293" t="s">
        <v>25</v>
      </c>
      <c r="E1293" t="s">
        <v>20</v>
      </c>
      <c r="F1293" t="s">
        <v>22</v>
      </c>
      <c r="G1293">
        <v>116.18</v>
      </c>
      <c r="H1293">
        <v>15</v>
      </c>
      <c r="I1293">
        <v>603.27</v>
      </c>
      <c r="J1293">
        <v>3</v>
      </c>
      <c r="K1293">
        <v>337.6</v>
      </c>
    </row>
    <row r="1294" spans="1:11" x14ac:dyDescent="0.3">
      <c r="A1294" s="1">
        <v>45052</v>
      </c>
      <c r="B1294" t="s">
        <v>11</v>
      </c>
      <c r="C1294" t="s">
        <v>12</v>
      </c>
      <c r="D1294" t="s">
        <v>25</v>
      </c>
      <c r="E1294" t="s">
        <v>20</v>
      </c>
      <c r="F1294" t="s">
        <v>26</v>
      </c>
      <c r="G1294">
        <v>86.5</v>
      </c>
      <c r="H1294">
        <v>9</v>
      </c>
      <c r="I1294">
        <v>252.36</v>
      </c>
      <c r="J1294">
        <v>0</v>
      </c>
      <c r="K1294">
        <v>165.86</v>
      </c>
    </row>
    <row r="1295" spans="1:11" x14ac:dyDescent="0.3">
      <c r="A1295" s="1">
        <v>45232</v>
      </c>
      <c r="B1295" t="s">
        <v>23</v>
      </c>
      <c r="C1295" t="s">
        <v>29</v>
      </c>
      <c r="D1295" t="s">
        <v>25</v>
      </c>
      <c r="E1295" t="s">
        <v>20</v>
      </c>
      <c r="F1295" t="s">
        <v>15</v>
      </c>
      <c r="G1295">
        <v>149.16</v>
      </c>
      <c r="H1295">
        <v>2</v>
      </c>
      <c r="I1295">
        <v>190.64</v>
      </c>
      <c r="J1295">
        <v>2</v>
      </c>
      <c r="K1295">
        <v>-27.62</v>
      </c>
    </row>
    <row r="1296" spans="1:11" x14ac:dyDescent="0.3">
      <c r="A1296" s="1">
        <v>45242</v>
      </c>
      <c r="B1296" t="s">
        <v>23</v>
      </c>
      <c r="C1296" t="s">
        <v>24</v>
      </c>
      <c r="D1296" t="s">
        <v>19</v>
      </c>
      <c r="E1296" t="s">
        <v>20</v>
      </c>
      <c r="F1296" t="s">
        <v>15</v>
      </c>
      <c r="G1296">
        <v>25.07</v>
      </c>
      <c r="H1296">
        <v>2</v>
      </c>
      <c r="I1296">
        <v>143.75</v>
      </c>
      <c r="J1296">
        <v>0</v>
      </c>
      <c r="K1296">
        <v>118.68</v>
      </c>
    </row>
    <row r="1297" spans="1:11" x14ac:dyDescent="0.3">
      <c r="A1297" s="1">
        <v>45059</v>
      </c>
      <c r="B1297" t="s">
        <v>11</v>
      </c>
      <c r="C1297" t="s">
        <v>12</v>
      </c>
      <c r="D1297" t="s">
        <v>13</v>
      </c>
      <c r="E1297" t="s">
        <v>20</v>
      </c>
      <c r="F1297" t="s">
        <v>22</v>
      </c>
      <c r="G1297">
        <v>130.65</v>
      </c>
      <c r="H1297">
        <v>10</v>
      </c>
      <c r="I1297">
        <v>827.8</v>
      </c>
      <c r="J1297">
        <v>1</v>
      </c>
      <c r="K1297">
        <v>691.19</v>
      </c>
    </row>
    <row r="1298" spans="1:11" x14ac:dyDescent="0.3">
      <c r="A1298" s="1">
        <v>45084</v>
      </c>
      <c r="B1298" t="s">
        <v>17</v>
      </c>
      <c r="C1298" t="s">
        <v>12</v>
      </c>
      <c r="D1298" t="s">
        <v>27</v>
      </c>
      <c r="E1298" t="s">
        <v>14</v>
      </c>
      <c r="F1298" t="s">
        <v>26</v>
      </c>
      <c r="G1298">
        <v>144.94</v>
      </c>
      <c r="H1298">
        <v>12</v>
      </c>
      <c r="I1298">
        <v>434.3</v>
      </c>
      <c r="J1298">
        <v>3</v>
      </c>
      <c r="K1298">
        <v>270.17</v>
      </c>
    </row>
    <row r="1299" spans="1:11" x14ac:dyDescent="0.3">
      <c r="A1299" s="1">
        <v>45163</v>
      </c>
      <c r="B1299" t="s">
        <v>17</v>
      </c>
      <c r="C1299" t="s">
        <v>18</v>
      </c>
      <c r="D1299" t="s">
        <v>13</v>
      </c>
      <c r="E1299" t="s">
        <v>14</v>
      </c>
      <c r="F1299" t="s">
        <v>16</v>
      </c>
      <c r="G1299">
        <v>45.66</v>
      </c>
      <c r="H1299">
        <v>16</v>
      </c>
      <c r="I1299">
        <v>291.82</v>
      </c>
      <c r="J1299">
        <v>3</v>
      </c>
      <c r="K1299">
        <v>123.11</v>
      </c>
    </row>
    <row r="1300" spans="1:11" x14ac:dyDescent="0.3">
      <c r="A1300" s="1">
        <v>45263</v>
      </c>
      <c r="B1300" t="s">
        <v>21</v>
      </c>
      <c r="C1300" t="s">
        <v>24</v>
      </c>
      <c r="D1300" t="s">
        <v>19</v>
      </c>
      <c r="E1300" t="s">
        <v>20</v>
      </c>
      <c r="F1300" t="s">
        <v>26</v>
      </c>
      <c r="G1300">
        <v>181.74</v>
      </c>
      <c r="H1300">
        <v>16</v>
      </c>
      <c r="I1300">
        <v>1535.53</v>
      </c>
      <c r="J1300">
        <v>0</v>
      </c>
      <c r="K1300">
        <v>1353.79</v>
      </c>
    </row>
    <row r="1301" spans="1:11" x14ac:dyDescent="0.3">
      <c r="A1301" s="1">
        <v>45182</v>
      </c>
      <c r="B1301" t="s">
        <v>23</v>
      </c>
      <c r="C1301" t="s">
        <v>29</v>
      </c>
      <c r="D1301" t="s">
        <v>25</v>
      </c>
      <c r="E1301" t="s">
        <v>20</v>
      </c>
      <c r="F1301" t="s">
        <v>26</v>
      </c>
      <c r="G1301">
        <v>36.14</v>
      </c>
      <c r="H1301">
        <v>7</v>
      </c>
      <c r="I1301">
        <v>438.53</v>
      </c>
      <c r="J1301">
        <v>3</v>
      </c>
      <c r="K1301">
        <v>367.11</v>
      </c>
    </row>
    <row r="1302" spans="1:11" x14ac:dyDescent="0.3">
      <c r="A1302" s="1">
        <v>45247</v>
      </c>
      <c r="B1302" t="s">
        <v>23</v>
      </c>
      <c r="C1302" t="s">
        <v>24</v>
      </c>
      <c r="D1302" t="s">
        <v>13</v>
      </c>
      <c r="E1302" t="s">
        <v>14</v>
      </c>
      <c r="F1302" t="s">
        <v>15</v>
      </c>
      <c r="G1302">
        <v>178.15</v>
      </c>
      <c r="H1302">
        <v>5</v>
      </c>
      <c r="I1302">
        <v>120.31</v>
      </c>
      <c r="J1302">
        <v>2</v>
      </c>
      <c r="K1302">
        <v>-137.63999999999999</v>
      </c>
    </row>
    <row r="1303" spans="1:11" x14ac:dyDescent="0.3">
      <c r="A1303" s="1">
        <v>45229</v>
      </c>
      <c r="B1303" t="s">
        <v>23</v>
      </c>
      <c r="C1303" t="s">
        <v>29</v>
      </c>
      <c r="D1303" t="s">
        <v>19</v>
      </c>
      <c r="E1303" t="s">
        <v>14</v>
      </c>
      <c r="F1303" t="s">
        <v>16</v>
      </c>
      <c r="G1303">
        <v>70.75</v>
      </c>
      <c r="H1303">
        <v>15</v>
      </c>
      <c r="I1303">
        <v>581.55999999999995</v>
      </c>
      <c r="J1303">
        <v>2</v>
      </c>
      <c r="K1303">
        <v>491.25</v>
      </c>
    </row>
    <row r="1304" spans="1:11" x14ac:dyDescent="0.3">
      <c r="A1304" s="1">
        <v>45258</v>
      </c>
      <c r="B1304" t="s">
        <v>23</v>
      </c>
      <c r="C1304" t="s">
        <v>18</v>
      </c>
      <c r="D1304" t="s">
        <v>13</v>
      </c>
      <c r="E1304" t="s">
        <v>20</v>
      </c>
      <c r="F1304" t="s">
        <v>16</v>
      </c>
      <c r="G1304">
        <v>35.06</v>
      </c>
      <c r="H1304">
        <v>7</v>
      </c>
      <c r="I1304">
        <v>235.55</v>
      </c>
      <c r="J1304">
        <v>1</v>
      </c>
      <c r="K1304">
        <v>189.92</v>
      </c>
    </row>
    <row r="1305" spans="1:11" x14ac:dyDescent="0.3">
      <c r="A1305" s="1">
        <v>45169</v>
      </c>
      <c r="B1305" t="s">
        <v>17</v>
      </c>
      <c r="C1305" t="s">
        <v>29</v>
      </c>
      <c r="D1305" t="s">
        <v>27</v>
      </c>
      <c r="E1305" t="s">
        <v>20</v>
      </c>
      <c r="F1305" t="s">
        <v>15</v>
      </c>
      <c r="G1305">
        <v>108.86</v>
      </c>
      <c r="H1305">
        <v>2</v>
      </c>
      <c r="I1305">
        <v>39.340000000000003</v>
      </c>
      <c r="J1305">
        <v>1</v>
      </c>
      <c r="K1305">
        <v>-78.709999999999994</v>
      </c>
    </row>
    <row r="1306" spans="1:11" x14ac:dyDescent="0.3">
      <c r="A1306" s="1">
        <v>45005</v>
      </c>
      <c r="B1306" t="s">
        <v>11</v>
      </c>
      <c r="C1306" t="s">
        <v>12</v>
      </c>
      <c r="D1306" t="s">
        <v>28</v>
      </c>
      <c r="E1306" t="s">
        <v>20</v>
      </c>
      <c r="F1306" t="s">
        <v>15</v>
      </c>
      <c r="G1306">
        <v>42.08</v>
      </c>
      <c r="H1306">
        <v>12</v>
      </c>
      <c r="I1306">
        <v>1003.39</v>
      </c>
      <c r="J1306">
        <v>1</v>
      </c>
      <c r="K1306">
        <v>938.47</v>
      </c>
    </row>
    <row r="1307" spans="1:11" x14ac:dyDescent="0.3">
      <c r="A1307" s="1">
        <v>44946</v>
      </c>
      <c r="B1307" t="s">
        <v>21</v>
      </c>
      <c r="C1307" t="s">
        <v>29</v>
      </c>
      <c r="D1307" t="s">
        <v>25</v>
      </c>
      <c r="E1307" t="s">
        <v>20</v>
      </c>
      <c r="F1307" t="s">
        <v>22</v>
      </c>
      <c r="G1307">
        <v>101.96</v>
      </c>
      <c r="H1307">
        <v>7</v>
      </c>
      <c r="I1307">
        <v>473.38</v>
      </c>
      <c r="J1307">
        <v>3</v>
      </c>
      <c r="K1307">
        <v>313.97000000000003</v>
      </c>
    </row>
    <row r="1308" spans="1:11" x14ac:dyDescent="0.3">
      <c r="A1308" s="1">
        <v>45206</v>
      </c>
      <c r="B1308" t="s">
        <v>23</v>
      </c>
      <c r="C1308" t="s">
        <v>12</v>
      </c>
      <c r="D1308" t="s">
        <v>27</v>
      </c>
      <c r="E1308" t="s">
        <v>14</v>
      </c>
      <c r="F1308" t="s">
        <v>15</v>
      </c>
      <c r="G1308">
        <v>116.54</v>
      </c>
      <c r="H1308">
        <v>1</v>
      </c>
      <c r="I1308">
        <v>96.73</v>
      </c>
      <c r="J1308">
        <v>0</v>
      </c>
      <c r="K1308">
        <v>-19.809999999999999</v>
      </c>
    </row>
    <row r="1309" spans="1:11" x14ac:dyDescent="0.3">
      <c r="A1309" s="1">
        <v>45164</v>
      </c>
      <c r="B1309" t="s">
        <v>17</v>
      </c>
      <c r="C1309" t="s">
        <v>29</v>
      </c>
      <c r="D1309" t="s">
        <v>27</v>
      </c>
      <c r="E1309" t="s">
        <v>14</v>
      </c>
      <c r="F1309" t="s">
        <v>15</v>
      </c>
      <c r="G1309">
        <v>54.14</v>
      </c>
      <c r="H1309">
        <v>20</v>
      </c>
      <c r="I1309">
        <v>555</v>
      </c>
      <c r="J1309">
        <v>2</v>
      </c>
      <c r="K1309">
        <v>472.67</v>
      </c>
    </row>
    <row r="1310" spans="1:11" x14ac:dyDescent="0.3">
      <c r="A1310" s="1">
        <v>45160</v>
      </c>
      <c r="B1310" t="s">
        <v>17</v>
      </c>
      <c r="C1310" t="s">
        <v>18</v>
      </c>
      <c r="D1310" t="s">
        <v>19</v>
      </c>
      <c r="E1310" t="s">
        <v>14</v>
      </c>
      <c r="F1310" t="s">
        <v>15</v>
      </c>
      <c r="G1310">
        <v>66.14</v>
      </c>
      <c r="H1310">
        <v>5</v>
      </c>
      <c r="I1310">
        <v>342.89</v>
      </c>
      <c r="J1310">
        <v>2</v>
      </c>
      <c r="K1310">
        <v>243.92</v>
      </c>
    </row>
    <row r="1311" spans="1:11" x14ac:dyDescent="0.3">
      <c r="A1311" s="1">
        <v>44937</v>
      </c>
      <c r="B1311" t="s">
        <v>21</v>
      </c>
      <c r="C1311" t="s">
        <v>18</v>
      </c>
      <c r="D1311" t="s">
        <v>19</v>
      </c>
      <c r="E1311" t="s">
        <v>20</v>
      </c>
      <c r="F1311" t="s">
        <v>16</v>
      </c>
      <c r="G1311">
        <v>138.78</v>
      </c>
      <c r="H1311">
        <v>2</v>
      </c>
      <c r="I1311">
        <v>60.35</v>
      </c>
      <c r="J1311">
        <v>0</v>
      </c>
      <c r="K1311">
        <v>-78.430000000000007</v>
      </c>
    </row>
    <row r="1312" spans="1:11" x14ac:dyDescent="0.3">
      <c r="A1312" s="1">
        <v>45032</v>
      </c>
      <c r="B1312" t="s">
        <v>11</v>
      </c>
      <c r="C1312" t="s">
        <v>24</v>
      </c>
      <c r="D1312" t="s">
        <v>27</v>
      </c>
      <c r="E1312" t="s">
        <v>20</v>
      </c>
      <c r="F1312" t="s">
        <v>15</v>
      </c>
      <c r="G1312">
        <v>34.53</v>
      </c>
      <c r="H1312">
        <v>20</v>
      </c>
      <c r="I1312">
        <v>403.71</v>
      </c>
      <c r="J1312">
        <v>0</v>
      </c>
      <c r="K1312">
        <v>369.18</v>
      </c>
    </row>
    <row r="1313" spans="1:11" x14ac:dyDescent="0.3">
      <c r="A1313" s="1">
        <v>45123</v>
      </c>
      <c r="B1313" t="s">
        <v>17</v>
      </c>
      <c r="C1313" t="s">
        <v>18</v>
      </c>
      <c r="D1313" t="s">
        <v>25</v>
      </c>
      <c r="E1313" t="s">
        <v>20</v>
      </c>
      <c r="F1313" t="s">
        <v>16</v>
      </c>
      <c r="G1313">
        <v>113.61</v>
      </c>
      <c r="H1313">
        <v>7</v>
      </c>
      <c r="I1313">
        <v>241.28</v>
      </c>
      <c r="J1313">
        <v>1</v>
      </c>
      <c r="K1313">
        <v>91.23</v>
      </c>
    </row>
    <row r="1314" spans="1:11" x14ac:dyDescent="0.3">
      <c r="A1314" s="1">
        <v>45251</v>
      </c>
      <c r="B1314" t="s">
        <v>23</v>
      </c>
      <c r="C1314" t="s">
        <v>24</v>
      </c>
      <c r="D1314" t="s">
        <v>27</v>
      </c>
      <c r="E1314" t="s">
        <v>14</v>
      </c>
      <c r="F1314" t="s">
        <v>15</v>
      </c>
      <c r="G1314">
        <v>114.88</v>
      </c>
      <c r="H1314">
        <v>9</v>
      </c>
      <c r="I1314">
        <v>471.51</v>
      </c>
      <c r="J1314">
        <v>3</v>
      </c>
      <c r="K1314">
        <v>248.81</v>
      </c>
    </row>
    <row r="1315" spans="1:11" x14ac:dyDescent="0.3">
      <c r="A1315" s="1">
        <v>45128</v>
      </c>
      <c r="B1315" t="s">
        <v>17</v>
      </c>
      <c r="C1315" t="s">
        <v>12</v>
      </c>
      <c r="D1315" t="s">
        <v>19</v>
      </c>
      <c r="E1315" t="s">
        <v>14</v>
      </c>
      <c r="F1315" t="s">
        <v>26</v>
      </c>
      <c r="G1315">
        <v>67.790000000000006</v>
      </c>
      <c r="H1315">
        <v>19</v>
      </c>
      <c r="I1315">
        <v>889.39</v>
      </c>
      <c r="J1315">
        <v>0</v>
      </c>
      <c r="K1315">
        <v>821.6</v>
      </c>
    </row>
    <row r="1316" spans="1:11" x14ac:dyDescent="0.3">
      <c r="A1316" s="1">
        <v>44984</v>
      </c>
      <c r="B1316" t="s">
        <v>21</v>
      </c>
      <c r="C1316" t="s">
        <v>29</v>
      </c>
      <c r="D1316" t="s">
        <v>28</v>
      </c>
      <c r="E1316" t="s">
        <v>14</v>
      </c>
      <c r="F1316" t="s">
        <v>22</v>
      </c>
      <c r="G1316">
        <v>113.1</v>
      </c>
      <c r="H1316">
        <v>16</v>
      </c>
      <c r="I1316">
        <v>1569.75</v>
      </c>
      <c r="J1316">
        <v>0</v>
      </c>
      <c r="K1316">
        <v>1456.65</v>
      </c>
    </row>
    <row r="1317" spans="1:11" x14ac:dyDescent="0.3">
      <c r="A1317" s="1">
        <v>45096</v>
      </c>
      <c r="B1317" t="s">
        <v>17</v>
      </c>
      <c r="C1317" t="s">
        <v>12</v>
      </c>
      <c r="D1317" t="s">
        <v>13</v>
      </c>
      <c r="E1317" t="s">
        <v>20</v>
      </c>
      <c r="F1317" t="s">
        <v>22</v>
      </c>
      <c r="G1317">
        <v>28.97</v>
      </c>
      <c r="H1317">
        <v>5</v>
      </c>
      <c r="I1317">
        <v>346.83</v>
      </c>
      <c r="J1317">
        <v>3</v>
      </c>
      <c r="K1317">
        <v>222.18</v>
      </c>
    </row>
    <row r="1318" spans="1:11" x14ac:dyDescent="0.3">
      <c r="A1318" s="1">
        <v>45153</v>
      </c>
      <c r="B1318" t="s">
        <v>17</v>
      </c>
      <c r="C1318" t="s">
        <v>18</v>
      </c>
      <c r="D1318" t="s">
        <v>28</v>
      </c>
      <c r="E1318" t="s">
        <v>20</v>
      </c>
      <c r="F1318" t="s">
        <v>15</v>
      </c>
      <c r="G1318">
        <v>7.09</v>
      </c>
      <c r="H1318">
        <v>13</v>
      </c>
      <c r="I1318">
        <v>787.19</v>
      </c>
      <c r="J1318">
        <v>1</v>
      </c>
      <c r="K1318">
        <v>732.55</v>
      </c>
    </row>
    <row r="1319" spans="1:11" x14ac:dyDescent="0.3">
      <c r="A1319" s="1">
        <v>45016</v>
      </c>
      <c r="B1319" t="s">
        <v>11</v>
      </c>
      <c r="C1319" t="s">
        <v>18</v>
      </c>
      <c r="D1319" t="s">
        <v>19</v>
      </c>
      <c r="E1319" t="s">
        <v>20</v>
      </c>
      <c r="F1319" t="s">
        <v>15</v>
      </c>
      <c r="G1319">
        <v>100.8</v>
      </c>
      <c r="H1319">
        <v>15</v>
      </c>
      <c r="I1319">
        <v>264.14</v>
      </c>
      <c r="J1319">
        <v>0</v>
      </c>
      <c r="K1319">
        <v>163.34</v>
      </c>
    </row>
    <row r="1320" spans="1:11" x14ac:dyDescent="0.3">
      <c r="A1320" s="1">
        <v>45027</v>
      </c>
      <c r="B1320" t="s">
        <v>11</v>
      </c>
      <c r="C1320" t="s">
        <v>18</v>
      </c>
      <c r="D1320" t="s">
        <v>27</v>
      </c>
      <c r="E1320" t="s">
        <v>20</v>
      </c>
      <c r="F1320" t="s">
        <v>15</v>
      </c>
      <c r="G1320">
        <v>183.76</v>
      </c>
      <c r="H1320">
        <v>4</v>
      </c>
      <c r="I1320">
        <v>269.60000000000002</v>
      </c>
      <c r="J1320">
        <v>2</v>
      </c>
      <c r="K1320">
        <v>43.74</v>
      </c>
    </row>
    <row r="1321" spans="1:11" x14ac:dyDescent="0.3">
      <c r="A1321" s="1">
        <v>45028</v>
      </c>
      <c r="B1321" t="s">
        <v>11</v>
      </c>
      <c r="C1321" t="s">
        <v>18</v>
      </c>
      <c r="D1321" t="s">
        <v>13</v>
      </c>
      <c r="E1321" t="s">
        <v>20</v>
      </c>
      <c r="F1321" t="s">
        <v>26</v>
      </c>
      <c r="G1321">
        <v>173.93</v>
      </c>
      <c r="H1321">
        <v>3</v>
      </c>
      <c r="I1321">
        <v>68.83</v>
      </c>
      <c r="J1321">
        <v>1</v>
      </c>
      <c r="K1321">
        <v>-137.1</v>
      </c>
    </row>
    <row r="1322" spans="1:11" x14ac:dyDescent="0.3">
      <c r="A1322" s="1">
        <v>45161</v>
      </c>
      <c r="B1322" t="s">
        <v>17</v>
      </c>
      <c r="C1322" t="s">
        <v>29</v>
      </c>
      <c r="D1322" t="s">
        <v>19</v>
      </c>
      <c r="E1322" t="s">
        <v>20</v>
      </c>
      <c r="F1322" t="s">
        <v>15</v>
      </c>
      <c r="G1322">
        <v>150.13999999999999</v>
      </c>
      <c r="H1322">
        <v>10</v>
      </c>
      <c r="I1322">
        <v>875.02</v>
      </c>
      <c r="J1322">
        <v>1</v>
      </c>
      <c r="K1322">
        <v>685.98</v>
      </c>
    </row>
    <row r="1323" spans="1:11" x14ac:dyDescent="0.3">
      <c r="A1323" s="1">
        <v>45262</v>
      </c>
      <c r="B1323" t="s">
        <v>21</v>
      </c>
      <c r="C1323" t="s">
        <v>24</v>
      </c>
      <c r="D1323" t="s">
        <v>25</v>
      </c>
      <c r="E1323" t="s">
        <v>20</v>
      </c>
      <c r="F1323" t="s">
        <v>15</v>
      </c>
      <c r="G1323">
        <v>138.28</v>
      </c>
      <c r="H1323">
        <v>5</v>
      </c>
      <c r="I1323">
        <v>123.29</v>
      </c>
      <c r="J1323">
        <v>3</v>
      </c>
      <c r="K1323">
        <v>-62.67</v>
      </c>
    </row>
    <row r="1324" spans="1:11" x14ac:dyDescent="0.3">
      <c r="A1324" s="1">
        <v>44967</v>
      </c>
      <c r="B1324" t="s">
        <v>21</v>
      </c>
      <c r="C1324" t="s">
        <v>12</v>
      </c>
      <c r="D1324" t="s">
        <v>13</v>
      </c>
      <c r="E1324" t="s">
        <v>14</v>
      </c>
      <c r="F1324" t="s">
        <v>16</v>
      </c>
      <c r="G1324">
        <v>78.87</v>
      </c>
      <c r="H1324">
        <v>17</v>
      </c>
      <c r="I1324">
        <v>289.23</v>
      </c>
      <c r="J1324">
        <v>0</v>
      </c>
      <c r="K1324">
        <v>210.36</v>
      </c>
    </row>
    <row r="1325" spans="1:11" x14ac:dyDescent="0.3">
      <c r="A1325" s="1">
        <v>45187</v>
      </c>
      <c r="B1325" t="s">
        <v>23</v>
      </c>
      <c r="C1325" t="s">
        <v>24</v>
      </c>
      <c r="D1325" t="s">
        <v>19</v>
      </c>
      <c r="E1325" t="s">
        <v>14</v>
      </c>
      <c r="F1325" t="s">
        <v>22</v>
      </c>
      <c r="G1325">
        <v>199.59</v>
      </c>
      <c r="H1325">
        <v>10</v>
      </c>
      <c r="I1325">
        <v>847.69</v>
      </c>
      <c r="J1325">
        <v>0</v>
      </c>
      <c r="K1325">
        <v>648.1</v>
      </c>
    </row>
    <row r="1326" spans="1:11" x14ac:dyDescent="0.3">
      <c r="A1326" s="1">
        <v>45186</v>
      </c>
      <c r="B1326" t="s">
        <v>23</v>
      </c>
      <c r="C1326" t="s">
        <v>12</v>
      </c>
      <c r="D1326" t="s">
        <v>13</v>
      </c>
      <c r="E1326" t="s">
        <v>20</v>
      </c>
      <c r="F1326" t="s">
        <v>16</v>
      </c>
      <c r="G1326">
        <v>11.15</v>
      </c>
      <c r="H1326">
        <v>12</v>
      </c>
      <c r="I1326">
        <v>465.51</v>
      </c>
      <c r="J1326">
        <v>3</v>
      </c>
      <c r="K1326">
        <v>408.96</v>
      </c>
    </row>
    <row r="1327" spans="1:11" x14ac:dyDescent="0.3">
      <c r="A1327" s="1">
        <v>45064</v>
      </c>
      <c r="B1327" t="s">
        <v>11</v>
      </c>
      <c r="C1327" t="s">
        <v>18</v>
      </c>
      <c r="D1327" t="s">
        <v>25</v>
      </c>
      <c r="E1327" t="s">
        <v>20</v>
      </c>
      <c r="F1327" t="s">
        <v>16</v>
      </c>
      <c r="G1327">
        <v>98.37</v>
      </c>
      <c r="H1327">
        <v>1</v>
      </c>
      <c r="I1327">
        <v>80.040000000000006</v>
      </c>
      <c r="J1327">
        <v>0</v>
      </c>
      <c r="K1327">
        <v>-18.329999999999998</v>
      </c>
    </row>
    <row r="1328" spans="1:11" x14ac:dyDescent="0.3">
      <c r="A1328" s="1">
        <v>45147</v>
      </c>
      <c r="B1328" t="s">
        <v>17</v>
      </c>
      <c r="C1328" t="s">
        <v>24</v>
      </c>
      <c r="D1328" t="s">
        <v>27</v>
      </c>
      <c r="E1328" t="s">
        <v>20</v>
      </c>
      <c r="F1328" t="s">
        <v>22</v>
      </c>
      <c r="G1328">
        <v>116.19</v>
      </c>
      <c r="H1328">
        <v>20</v>
      </c>
      <c r="I1328">
        <v>561</v>
      </c>
      <c r="J1328">
        <v>3</v>
      </c>
      <c r="K1328">
        <v>366.62</v>
      </c>
    </row>
    <row r="1329" spans="1:11" x14ac:dyDescent="0.3">
      <c r="A1329" s="1">
        <v>45109</v>
      </c>
      <c r="B1329" t="s">
        <v>17</v>
      </c>
      <c r="C1329" t="s">
        <v>29</v>
      </c>
      <c r="D1329" t="s">
        <v>25</v>
      </c>
      <c r="E1329" t="s">
        <v>14</v>
      </c>
      <c r="F1329" t="s">
        <v>22</v>
      </c>
      <c r="G1329">
        <v>28.07</v>
      </c>
      <c r="H1329">
        <v>15</v>
      </c>
      <c r="I1329">
        <v>1146.8900000000001</v>
      </c>
      <c r="J1329">
        <v>2</v>
      </c>
      <c r="K1329">
        <v>1107.1099999999999</v>
      </c>
    </row>
    <row r="1330" spans="1:11" x14ac:dyDescent="0.3">
      <c r="A1330" s="1">
        <v>45119</v>
      </c>
      <c r="B1330" t="s">
        <v>17</v>
      </c>
      <c r="C1330" t="s">
        <v>12</v>
      </c>
      <c r="D1330" t="s">
        <v>25</v>
      </c>
      <c r="E1330" t="s">
        <v>20</v>
      </c>
      <c r="F1330" t="s">
        <v>26</v>
      </c>
      <c r="G1330">
        <v>51.99</v>
      </c>
      <c r="H1330">
        <v>15</v>
      </c>
      <c r="I1330">
        <v>743.16</v>
      </c>
      <c r="J1330">
        <v>1</v>
      </c>
      <c r="K1330">
        <v>652.48</v>
      </c>
    </row>
    <row r="1331" spans="1:11" x14ac:dyDescent="0.3">
      <c r="A1331" s="1">
        <v>45098</v>
      </c>
      <c r="B1331" t="s">
        <v>17</v>
      </c>
      <c r="C1331" t="s">
        <v>12</v>
      </c>
      <c r="D1331" t="s">
        <v>28</v>
      </c>
      <c r="E1331" t="s">
        <v>20</v>
      </c>
      <c r="F1331" t="s">
        <v>22</v>
      </c>
      <c r="G1331">
        <v>105.39</v>
      </c>
      <c r="H1331">
        <v>4</v>
      </c>
      <c r="I1331">
        <v>53.17</v>
      </c>
      <c r="J1331">
        <v>1</v>
      </c>
      <c r="K1331">
        <v>-98.79</v>
      </c>
    </row>
    <row r="1332" spans="1:11" x14ac:dyDescent="0.3">
      <c r="A1332" s="1">
        <v>44978</v>
      </c>
      <c r="B1332" t="s">
        <v>21</v>
      </c>
      <c r="C1332" t="s">
        <v>18</v>
      </c>
      <c r="D1332" t="s">
        <v>28</v>
      </c>
      <c r="E1332" t="s">
        <v>20</v>
      </c>
      <c r="F1332" t="s">
        <v>15</v>
      </c>
      <c r="G1332">
        <v>51.72</v>
      </c>
      <c r="H1332">
        <v>8</v>
      </c>
      <c r="I1332">
        <v>160.88999999999999</v>
      </c>
      <c r="J1332">
        <v>3</v>
      </c>
      <c r="K1332">
        <v>74.73</v>
      </c>
    </row>
    <row r="1333" spans="1:11" x14ac:dyDescent="0.3">
      <c r="A1333" s="1">
        <v>45024</v>
      </c>
      <c r="B1333" t="s">
        <v>11</v>
      </c>
      <c r="C1333" t="s">
        <v>12</v>
      </c>
      <c r="D1333" t="s">
        <v>13</v>
      </c>
      <c r="E1333" t="s">
        <v>20</v>
      </c>
      <c r="F1333" t="s">
        <v>26</v>
      </c>
      <c r="G1333">
        <v>69.05</v>
      </c>
      <c r="H1333">
        <v>7</v>
      </c>
      <c r="I1333">
        <v>403.67</v>
      </c>
      <c r="J1333">
        <v>1</v>
      </c>
      <c r="K1333">
        <v>292.52999999999997</v>
      </c>
    </row>
    <row r="1334" spans="1:11" x14ac:dyDescent="0.3">
      <c r="A1334" s="1">
        <v>44985</v>
      </c>
      <c r="B1334" t="s">
        <v>21</v>
      </c>
      <c r="C1334" t="s">
        <v>29</v>
      </c>
      <c r="D1334" t="s">
        <v>25</v>
      </c>
      <c r="E1334" t="s">
        <v>20</v>
      </c>
      <c r="F1334" t="s">
        <v>16</v>
      </c>
      <c r="G1334">
        <v>10.119999999999999</v>
      </c>
      <c r="H1334">
        <v>19</v>
      </c>
      <c r="I1334">
        <v>924.47</v>
      </c>
      <c r="J1334">
        <v>3</v>
      </c>
      <c r="K1334">
        <v>810.14</v>
      </c>
    </row>
    <row r="1335" spans="1:11" x14ac:dyDescent="0.3">
      <c r="A1335" s="1">
        <v>45105</v>
      </c>
      <c r="B1335" t="s">
        <v>17</v>
      </c>
      <c r="C1335" t="s">
        <v>18</v>
      </c>
      <c r="D1335" t="s">
        <v>19</v>
      </c>
      <c r="E1335" t="s">
        <v>20</v>
      </c>
      <c r="F1335" t="s">
        <v>16</v>
      </c>
      <c r="G1335">
        <v>138.9</v>
      </c>
      <c r="H1335">
        <v>8</v>
      </c>
      <c r="I1335">
        <v>741.84</v>
      </c>
      <c r="J1335">
        <v>2</v>
      </c>
      <c r="K1335">
        <v>537.44000000000005</v>
      </c>
    </row>
    <row r="1336" spans="1:11" x14ac:dyDescent="0.3">
      <c r="A1336" s="1">
        <v>45105</v>
      </c>
      <c r="B1336" t="s">
        <v>17</v>
      </c>
      <c r="C1336" t="s">
        <v>29</v>
      </c>
      <c r="D1336" t="s">
        <v>13</v>
      </c>
      <c r="E1336" t="s">
        <v>14</v>
      </c>
      <c r="F1336" t="s">
        <v>22</v>
      </c>
      <c r="G1336">
        <v>113.75</v>
      </c>
      <c r="H1336">
        <v>3</v>
      </c>
      <c r="I1336">
        <v>231.27</v>
      </c>
      <c r="J1336">
        <v>0</v>
      </c>
      <c r="K1336">
        <v>117.52</v>
      </c>
    </row>
    <row r="1337" spans="1:11" x14ac:dyDescent="0.3">
      <c r="A1337" s="1">
        <v>45153</v>
      </c>
      <c r="B1337" t="s">
        <v>17</v>
      </c>
      <c r="C1337" t="s">
        <v>24</v>
      </c>
      <c r="D1337" t="s">
        <v>25</v>
      </c>
      <c r="E1337" t="s">
        <v>20</v>
      </c>
      <c r="F1337" t="s">
        <v>26</v>
      </c>
      <c r="G1337">
        <v>109.86</v>
      </c>
      <c r="H1337">
        <v>4</v>
      </c>
      <c r="I1337">
        <v>288.57</v>
      </c>
      <c r="J1337">
        <v>1</v>
      </c>
      <c r="K1337">
        <v>155.41</v>
      </c>
    </row>
    <row r="1338" spans="1:11" x14ac:dyDescent="0.3">
      <c r="A1338" s="1">
        <v>45154</v>
      </c>
      <c r="B1338" t="s">
        <v>17</v>
      </c>
      <c r="C1338" t="s">
        <v>24</v>
      </c>
      <c r="D1338" t="s">
        <v>27</v>
      </c>
      <c r="E1338" t="s">
        <v>14</v>
      </c>
      <c r="F1338" t="s">
        <v>15</v>
      </c>
      <c r="G1338">
        <v>147.94</v>
      </c>
      <c r="H1338">
        <v>8</v>
      </c>
      <c r="I1338">
        <v>726.96</v>
      </c>
      <c r="J1338">
        <v>1</v>
      </c>
      <c r="K1338">
        <v>568.22</v>
      </c>
    </row>
    <row r="1339" spans="1:11" x14ac:dyDescent="0.3">
      <c r="A1339" s="1">
        <v>44986</v>
      </c>
      <c r="B1339" t="s">
        <v>11</v>
      </c>
      <c r="C1339" t="s">
        <v>12</v>
      </c>
      <c r="D1339" t="s">
        <v>27</v>
      </c>
      <c r="E1339" t="s">
        <v>20</v>
      </c>
      <c r="F1339" t="s">
        <v>26</v>
      </c>
      <c r="G1339">
        <v>191.91</v>
      </c>
      <c r="H1339">
        <v>16</v>
      </c>
      <c r="I1339">
        <v>397.41</v>
      </c>
      <c r="J1339">
        <v>1</v>
      </c>
      <c r="K1339">
        <v>188.76</v>
      </c>
    </row>
    <row r="1340" spans="1:11" x14ac:dyDescent="0.3">
      <c r="A1340" s="1">
        <v>44972</v>
      </c>
      <c r="B1340" t="s">
        <v>21</v>
      </c>
      <c r="C1340" t="s">
        <v>18</v>
      </c>
      <c r="D1340" t="s">
        <v>28</v>
      </c>
      <c r="E1340" t="s">
        <v>20</v>
      </c>
      <c r="F1340" t="s">
        <v>26</v>
      </c>
      <c r="G1340">
        <v>162.79</v>
      </c>
      <c r="H1340">
        <v>6</v>
      </c>
      <c r="I1340">
        <v>204.89</v>
      </c>
      <c r="J1340">
        <v>0</v>
      </c>
      <c r="K1340">
        <v>42.1</v>
      </c>
    </row>
    <row r="1341" spans="1:11" x14ac:dyDescent="0.3">
      <c r="A1341" s="1">
        <v>45065</v>
      </c>
      <c r="B1341" t="s">
        <v>11</v>
      </c>
      <c r="C1341" t="s">
        <v>24</v>
      </c>
      <c r="D1341" t="s">
        <v>25</v>
      </c>
      <c r="E1341" t="s">
        <v>14</v>
      </c>
      <c r="F1341" t="s">
        <v>26</v>
      </c>
      <c r="G1341">
        <v>80.64</v>
      </c>
      <c r="H1341">
        <v>9</v>
      </c>
      <c r="I1341">
        <v>782.03</v>
      </c>
      <c r="J1341">
        <v>1</v>
      </c>
      <c r="K1341">
        <v>682.94</v>
      </c>
    </row>
    <row r="1342" spans="1:11" x14ac:dyDescent="0.3">
      <c r="A1342" s="1">
        <v>45001</v>
      </c>
      <c r="B1342" t="s">
        <v>11</v>
      </c>
      <c r="C1342" t="s">
        <v>12</v>
      </c>
      <c r="D1342" t="s">
        <v>28</v>
      </c>
      <c r="E1342" t="s">
        <v>20</v>
      </c>
      <c r="F1342" t="s">
        <v>26</v>
      </c>
      <c r="G1342">
        <v>104.31</v>
      </c>
      <c r="H1342">
        <v>10</v>
      </c>
      <c r="I1342">
        <v>849.12</v>
      </c>
      <c r="J1342">
        <v>0</v>
      </c>
      <c r="K1342">
        <v>744.81</v>
      </c>
    </row>
    <row r="1343" spans="1:11" x14ac:dyDescent="0.3">
      <c r="A1343" s="1">
        <v>45275</v>
      </c>
      <c r="B1343" t="s">
        <v>21</v>
      </c>
      <c r="C1343" t="s">
        <v>18</v>
      </c>
      <c r="D1343" t="s">
        <v>25</v>
      </c>
      <c r="E1343" t="s">
        <v>20</v>
      </c>
      <c r="F1343" t="s">
        <v>22</v>
      </c>
      <c r="G1343">
        <v>109.42</v>
      </c>
      <c r="H1343">
        <v>11</v>
      </c>
      <c r="I1343">
        <v>479.38</v>
      </c>
      <c r="J1343">
        <v>0</v>
      </c>
      <c r="K1343">
        <v>369.96</v>
      </c>
    </row>
    <row r="1344" spans="1:11" x14ac:dyDescent="0.3">
      <c r="A1344" s="1">
        <v>44964</v>
      </c>
      <c r="B1344" t="s">
        <v>21</v>
      </c>
      <c r="C1344" t="s">
        <v>29</v>
      </c>
      <c r="D1344" t="s">
        <v>25</v>
      </c>
      <c r="E1344" t="s">
        <v>20</v>
      </c>
      <c r="F1344" t="s">
        <v>15</v>
      </c>
      <c r="G1344">
        <v>11.52</v>
      </c>
      <c r="H1344">
        <v>19</v>
      </c>
      <c r="I1344">
        <v>813.78</v>
      </c>
      <c r="J1344">
        <v>1</v>
      </c>
      <c r="K1344">
        <v>784.92</v>
      </c>
    </row>
    <row r="1345" spans="1:11" x14ac:dyDescent="0.3">
      <c r="A1345" s="1">
        <v>45180</v>
      </c>
      <c r="B1345" t="s">
        <v>23</v>
      </c>
      <c r="C1345" t="s">
        <v>18</v>
      </c>
      <c r="D1345" t="s">
        <v>19</v>
      </c>
      <c r="E1345" t="s">
        <v>20</v>
      </c>
      <c r="F1345" t="s">
        <v>15</v>
      </c>
      <c r="G1345">
        <v>120.49</v>
      </c>
      <c r="H1345">
        <v>3</v>
      </c>
      <c r="I1345">
        <v>213.73</v>
      </c>
      <c r="J1345">
        <v>1</v>
      </c>
      <c r="K1345">
        <v>82.74</v>
      </c>
    </row>
    <row r="1346" spans="1:11" x14ac:dyDescent="0.3">
      <c r="A1346" s="1">
        <v>45052</v>
      </c>
      <c r="B1346" t="s">
        <v>11</v>
      </c>
      <c r="C1346" t="s">
        <v>24</v>
      </c>
      <c r="D1346" t="s">
        <v>13</v>
      </c>
      <c r="E1346" t="s">
        <v>20</v>
      </c>
      <c r="F1346" t="s">
        <v>15</v>
      </c>
      <c r="G1346">
        <v>162.29</v>
      </c>
      <c r="H1346">
        <v>7</v>
      </c>
      <c r="I1346">
        <v>588.21</v>
      </c>
      <c r="J1346">
        <v>3</v>
      </c>
      <c r="K1346">
        <v>288.38</v>
      </c>
    </row>
    <row r="1347" spans="1:11" x14ac:dyDescent="0.3">
      <c r="A1347" s="1">
        <v>45167</v>
      </c>
      <c r="B1347" t="s">
        <v>17</v>
      </c>
      <c r="C1347" t="s">
        <v>18</v>
      </c>
      <c r="D1347" t="s">
        <v>27</v>
      </c>
      <c r="E1347" t="s">
        <v>20</v>
      </c>
      <c r="F1347" t="s">
        <v>16</v>
      </c>
      <c r="G1347">
        <v>85.87</v>
      </c>
      <c r="H1347">
        <v>11</v>
      </c>
      <c r="I1347">
        <v>576.5</v>
      </c>
      <c r="J1347">
        <v>3</v>
      </c>
      <c r="K1347">
        <v>449.16</v>
      </c>
    </row>
    <row r="1348" spans="1:11" x14ac:dyDescent="0.3">
      <c r="A1348" s="1">
        <v>45062</v>
      </c>
      <c r="B1348" t="s">
        <v>11</v>
      </c>
      <c r="C1348" t="s">
        <v>12</v>
      </c>
      <c r="D1348" t="s">
        <v>25</v>
      </c>
      <c r="E1348" t="s">
        <v>14</v>
      </c>
      <c r="F1348" t="s">
        <v>22</v>
      </c>
      <c r="G1348">
        <v>15.25</v>
      </c>
      <c r="H1348">
        <v>18</v>
      </c>
      <c r="I1348">
        <v>685.39</v>
      </c>
      <c r="J1348">
        <v>2</v>
      </c>
      <c r="K1348">
        <v>636.15</v>
      </c>
    </row>
    <row r="1349" spans="1:11" x14ac:dyDescent="0.3">
      <c r="A1349" s="1">
        <v>45153</v>
      </c>
      <c r="B1349" t="s">
        <v>17</v>
      </c>
      <c r="C1349" t="s">
        <v>29</v>
      </c>
      <c r="D1349" t="s">
        <v>13</v>
      </c>
      <c r="E1349" t="s">
        <v>14</v>
      </c>
      <c r="F1349" t="s">
        <v>16</v>
      </c>
      <c r="G1349">
        <v>45.05</v>
      </c>
      <c r="H1349">
        <v>8</v>
      </c>
      <c r="I1349">
        <v>564.19000000000005</v>
      </c>
      <c r="J1349">
        <v>2</v>
      </c>
      <c r="K1349">
        <v>483.96</v>
      </c>
    </row>
    <row r="1350" spans="1:11" x14ac:dyDescent="0.3">
      <c r="A1350" s="1">
        <v>45175</v>
      </c>
      <c r="B1350" t="s">
        <v>23</v>
      </c>
      <c r="C1350" t="s">
        <v>24</v>
      </c>
      <c r="D1350" t="s">
        <v>28</v>
      </c>
      <c r="E1350" t="s">
        <v>14</v>
      </c>
      <c r="F1350" t="s">
        <v>22</v>
      </c>
      <c r="G1350">
        <v>127.28</v>
      </c>
      <c r="H1350">
        <v>20</v>
      </c>
      <c r="I1350">
        <v>1576.81</v>
      </c>
      <c r="J1350">
        <v>3</v>
      </c>
      <c r="K1350">
        <v>1303.05</v>
      </c>
    </row>
    <row r="1351" spans="1:11" x14ac:dyDescent="0.3">
      <c r="A1351" s="1">
        <v>45000</v>
      </c>
      <c r="B1351" t="s">
        <v>11</v>
      </c>
      <c r="C1351" t="s">
        <v>24</v>
      </c>
      <c r="D1351" t="s">
        <v>13</v>
      </c>
      <c r="E1351" t="s">
        <v>14</v>
      </c>
      <c r="F1351" t="s">
        <v>15</v>
      </c>
      <c r="G1351">
        <v>119.53</v>
      </c>
      <c r="H1351">
        <v>8</v>
      </c>
      <c r="I1351">
        <v>338</v>
      </c>
      <c r="J1351">
        <v>1</v>
      </c>
      <c r="K1351">
        <v>207.46</v>
      </c>
    </row>
    <row r="1352" spans="1:11" x14ac:dyDescent="0.3">
      <c r="A1352" s="1">
        <v>45143</v>
      </c>
      <c r="B1352" t="s">
        <v>17</v>
      </c>
      <c r="C1352" t="s">
        <v>12</v>
      </c>
      <c r="D1352" t="s">
        <v>25</v>
      </c>
      <c r="E1352" t="s">
        <v>20</v>
      </c>
      <c r="F1352" t="s">
        <v>26</v>
      </c>
      <c r="G1352">
        <v>41.89</v>
      </c>
      <c r="H1352">
        <v>16</v>
      </c>
      <c r="I1352">
        <v>1476.98</v>
      </c>
      <c r="J1352">
        <v>1</v>
      </c>
      <c r="K1352">
        <v>1392.5</v>
      </c>
    </row>
    <row r="1353" spans="1:11" x14ac:dyDescent="0.3">
      <c r="A1353" s="1">
        <v>45264</v>
      </c>
      <c r="B1353" t="s">
        <v>21</v>
      </c>
      <c r="C1353" t="s">
        <v>18</v>
      </c>
      <c r="D1353" t="s">
        <v>13</v>
      </c>
      <c r="E1353" t="s">
        <v>20</v>
      </c>
      <c r="F1353" t="s">
        <v>16</v>
      </c>
      <c r="G1353">
        <v>133.22999999999999</v>
      </c>
      <c r="H1353">
        <v>15</v>
      </c>
      <c r="I1353">
        <v>373.82</v>
      </c>
      <c r="J1353">
        <v>0</v>
      </c>
      <c r="K1353">
        <v>240.59</v>
      </c>
    </row>
    <row r="1354" spans="1:11" x14ac:dyDescent="0.3">
      <c r="A1354" s="1">
        <v>45194</v>
      </c>
      <c r="B1354" t="s">
        <v>23</v>
      </c>
      <c r="C1354" t="s">
        <v>12</v>
      </c>
      <c r="D1354" t="s">
        <v>27</v>
      </c>
      <c r="E1354" t="s">
        <v>20</v>
      </c>
      <c r="F1354" t="s">
        <v>22</v>
      </c>
      <c r="G1354">
        <v>97.04</v>
      </c>
      <c r="H1354">
        <v>16</v>
      </c>
      <c r="I1354">
        <v>763.22</v>
      </c>
      <c r="J1354">
        <v>3</v>
      </c>
      <c r="K1354">
        <v>598.04</v>
      </c>
    </row>
    <row r="1355" spans="1:11" x14ac:dyDescent="0.3">
      <c r="A1355" s="1">
        <v>45238</v>
      </c>
      <c r="B1355" t="s">
        <v>23</v>
      </c>
      <c r="C1355" t="s">
        <v>29</v>
      </c>
      <c r="D1355" t="s">
        <v>28</v>
      </c>
      <c r="E1355" t="s">
        <v>14</v>
      </c>
      <c r="F1355" t="s">
        <v>26</v>
      </c>
      <c r="G1355">
        <v>148.47999999999999</v>
      </c>
      <c r="H1355">
        <v>1</v>
      </c>
      <c r="I1355">
        <v>97.81</v>
      </c>
      <c r="J1355">
        <v>1</v>
      </c>
      <c r="K1355">
        <v>-95.45</v>
      </c>
    </row>
    <row r="1356" spans="1:11" x14ac:dyDescent="0.3">
      <c r="A1356" s="1">
        <v>45129</v>
      </c>
      <c r="B1356" t="s">
        <v>17</v>
      </c>
      <c r="C1356" t="s">
        <v>29</v>
      </c>
      <c r="D1356" t="s">
        <v>27</v>
      </c>
      <c r="E1356" t="s">
        <v>14</v>
      </c>
      <c r="F1356" t="s">
        <v>22</v>
      </c>
      <c r="G1356">
        <v>26.19</v>
      </c>
      <c r="H1356">
        <v>5</v>
      </c>
      <c r="I1356">
        <v>496.71</v>
      </c>
      <c r="J1356">
        <v>0</v>
      </c>
      <c r="K1356">
        <v>470.52</v>
      </c>
    </row>
    <row r="1357" spans="1:11" x14ac:dyDescent="0.3">
      <c r="A1357" s="1">
        <v>45038</v>
      </c>
      <c r="B1357" t="s">
        <v>11</v>
      </c>
      <c r="C1357" t="s">
        <v>24</v>
      </c>
      <c r="D1357" t="s">
        <v>28</v>
      </c>
      <c r="E1357" t="s">
        <v>20</v>
      </c>
      <c r="F1357" t="s">
        <v>16</v>
      </c>
      <c r="G1357">
        <v>79.400000000000006</v>
      </c>
      <c r="H1357">
        <v>11</v>
      </c>
      <c r="I1357">
        <v>720.92</v>
      </c>
      <c r="J1357">
        <v>2</v>
      </c>
      <c r="K1357">
        <v>618.29</v>
      </c>
    </row>
    <row r="1358" spans="1:11" x14ac:dyDescent="0.3">
      <c r="A1358" s="1">
        <v>45088</v>
      </c>
      <c r="B1358" t="s">
        <v>17</v>
      </c>
      <c r="C1358" t="s">
        <v>29</v>
      </c>
      <c r="D1358" t="s">
        <v>27</v>
      </c>
      <c r="E1358" t="s">
        <v>20</v>
      </c>
      <c r="F1358" t="s">
        <v>15</v>
      </c>
      <c r="G1358">
        <v>39.17</v>
      </c>
      <c r="H1358">
        <v>18</v>
      </c>
      <c r="I1358">
        <v>710.99</v>
      </c>
      <c r="J1358">
        <v>1</v>
      </c>
      <c r="K1358">
        <v>635.94000000000005</v>
      </c>
    </row>
    <row r="1359" spans="1:11" x14ac:dyDescent="0.3">
      <c r="A1359" s="1">
        <v>45121</v>
      </c>
      <c r="B1359" t="s">
        <v>17</v>
      </c>
      <c r="C1359" t="s">
        <v>12</v>
      </c>
      <c r="D1359" t="s">
        <v>25</v>
      </c>
      <c r="E1359" t="s">
        <v>20</v>
      </c>
      <c r="F1359" t="s">
        <v>15</v>
      </c>
      <c r="G1359">
        <v>141.05000000000001</v>
      </c>
      <c r="H1359">
        <v>11</v>
      </c>
      <c r="I1359">
        <v>497.32</v>
      </c>
      <c r="J1359">
        <v>3</v>
      </c>
      <c r="K1359">
        <v>280.14</v>
      </c>
    </row>
    <row r="1360" spans="1:11" x14ac:dyDescent="0.3">
      <c r="A1360" s="1">
        <v>44931</v>
      </c>
      <c r="B1360" t="s">
        <v>21</v>
      </c>
      <c r="C1360" t="s">
        <v>29</v>
      </c>
      <c r="D1360" t="s">
        <v>27</v>
      </c>
      <c r="E1360" t="s">
        <v>20</v>
      </c>
      <c r="F1360" t="s">
        <v>15</v>
      </c>
      <c r="G1360">
        <v>139.16999999999999</v>
      </c>
      <c r="H1360">
        <v>15</v>
      </c>
      <c r="I1360">
        <v>1301.76</v>
      </c>
      <c r="J1360">
        <v>3</v>
      </c>
      <c r="K1360">
        <v>1058.93</v>
      </c>
    </row>
    <row r="1361" spans="1:11" x14ac:dyDescent="0.3">
      <c r="A1361" s="1">
        <v>45003</v>
      </c>
      <c r="B1361" t="s">
        <v>11</v>
      </c>
      <c r="C1361" t="s">
        <v>24</v>
      </c>
      <c r="D1361" t="s">
        <v>19</v>
      </c>
      <c r="E1361" t="s">
        <v>20</v>
      </c>
      <c r="F1361" t="s">
        <v>16</v>
      </c>
      <c r="G1361">
        <v>123.75</v>
      </c>
      <c r="H1361">
        <v>8</v>
      </c>
      <c r="I1361">
        <v>135.46</v>
      </c>
      <c r="J1361">
        <v>1</v>
      </c>
      <c r="K1361">
        <v>-3.56</v>
      </c>
    </row>
    <row r="1362" spans="1:11" x14ac:dyDescent="0.3">
      <c r="A1362" s="1">
        <v>45196</v>
      </c>
      <c r="B1362" t="s">
        <v>23</v>
      </c>
      <c r="C1362" t="s">
        <v>24</v>
      </c>
      <c r="D1362" t="s">
        <v>19</v>
      </c>
      <c r="E1362" t="s">
        <v>20</v>
      </c>
      <c r="F1362" t="s">
        <v>15</v>
      </c>
      <c r="G1362">
        <v>153.29</v>
      </c>
      <c r="H1362">
        <v>6</v>
      </c>
      <c r="I1362">
        <v>276.5</v>
      </c>
      <c r="J1362">
        <v>1</v>
      </c>
      <c r="K1362">
        <v>90.31</v>
      </c>
    </row>
    <row r="1363" spans="1:11" x14ac:dyDescent="0.3">
      <c r="A1363" s="1">
        <v>45088</v>
      </c>
      <c r="B1363" t="s">
        <v>17</v>
      </c>
      <c r="C1363" t="s">
        <v>18</v>
      </c>
      <c r="D1363" t="s">
        <v>27</v>
      </c>
      <c r="E1363" t="s">
        <v>20</v>
      </c>
      <c r="F1363" t="s">
        <v>15</v>
      </c>
      <c r="G1363">
        <v>196.5</v>
      </c>
      <c r="H1363">
        <v>5</v>
      </c>
      <c r="I1363">
        <v>396.92</v>
      </c>
      <c r="J1363">
        <v>3</v>
      </c>
      <c r="K1363">
        <v>177.01</v>
      </c>
    </row>
    <row r="1364" spans="1:11" x14ac:dyDescent="0.3">
      <c r="A1364" s="1">
        <v>45252</v>
      </c>
      <c r="B1364" t="s">
        <v>23</v>
      </c>
      <c r="C1364" t="s">
        <v>24</v>
      </c>
      <c r="D1364" t="s">
        <v>27</v>
      </c>
      <c r="E1364" t="s">
        <v>20</v>
      </c>
      <c r="F1364" t="s">
        <v>16</v>
      </c>
      <c r="G1364">
        <v>48.07</v>
      </c>
      <c r="H1364">
        <v>7</v>
      </c>
      <c r="I1364">
        <v>314.91000000000003</v>
      </c>
      <c r="J1364">
        <v>0</v>
      </c>
      <c r="K1364">
        <v>266.83999999999997</v>
      </c>
    </row>
    <row r="1365" spans="1:11" x14ac:dyDescent="0.3">
      <c r="A1365" s="1">
        <v>45234</v>
      </c>
      <c r="B1365" t="s">
        <v>23</v>
      </c>
      <c r="C1365" t="s">
        <v>24</v>
      </c>
      <c r="D1365" t="s">
        <v>27</v>
      </c>
      <c r="E1365" t="s">
        <v>20</v>
      </c>
      <c r="F1365" t="s">
        <v>16</v>
      </c>
      <c r="G1365">
        <v>58.51</v>
      </c>
      <c r="H1365">
        <v>10</v>
      </c>
      <c r="I1365">
        <v>197.53</v>
      </c>
      <c r="J1365">
        <v>2</v>
      </c>
      <c r="K1365">
        <v>63.46</v>
      </c>
    </row>
    <row r="1366" spans="1:11" x14ac:dyDescent="0.3">
      <c r="A1366" s="1">
        <v>45061</v>
      </c>
      <c r="B1366" t="s">
        <v>11</v>
      </c>
      <c r="C1366" t="s">
        <v>29</v>
      </c>
      <c r="D1366" t="s">
        <v>28</v>
      </c>
      <c r="E1366" t="s">
        <v>14</v>
      </c>
      <c r="F1366" t="s">
        <v>22</v>
      </c>
      <c r="G1366">
        <v>176.27</v>
      </c>
      <c r="H1366">
        <v>17</v>
      </c>
      <c r="I1366">
        <v>770.6</v>
      </c>
      <c r="J1366">
        <v>2</v>
      </c>
      <c r="K1366">
        <v>566.72</v>
      </c>
    </row>
    <row r="1367" spans="1:11" x14ac:dyDescent="0.3">
      <c r="A1367" s="1">
        <v>44997</v>
      </c>
      <c r="B1367" t="s">
        <v>11</v>
      </c>
      <c r="C1367" t="s">
        <v>24</v>
      </c>
      <c r="D1367" t="s">
        <v>25</v>
      </c>
      <c r="E1367" t="s">
        <v>20</v>
      </c>
      <c r="F1367" t="s">
        <v>15</v>
      </c>
      <c r="G1367">
        <v>66.260000000000005</v>
      </c>
      <c r="H1367">
        <v>11</v>
      </c>
      <c r="I1367">
        <v>956.66</v>
      </c>
      <c r="J1367">
        <v>0</v>
      </c>
      <c r="K1367">
        <v>890.4</v>
      </c>
    </row>
    <row r="1368" spans="1:11" x14ac:dyDescent="0.3">
      <c r="A1368" s="1">
        <v>45081</v>
      </c>
      <c r="B1368" t="s">
        <v>17</v>
      </c>
      <c r="C1368" t="s">
        <v>29</v>
      </c>
      <c r="D1368" t="s">
        <v>28</v>
      </c>
      <c r="E1368" t="s">
        <v>20</v>
      </c>
      <c r="F1368" t="s">
        <v>16</v>
      </c>
      <c r="G1368">
        <v>57.33</v>
      </c>
      <c r="H1368">
        <v>19</v>
      </c>
      <c r="I1368">
        <v>1207.58</v>
      </c>
      <c r="J1368">
        <v>0</v>
      </c>
      <c r="K1368">
        <v>1150.25</v>
      </c>
    </row>
    <row r="1369" spans="1:11" x14ac:dyDescent="0.3">
      <c r="A1369" s="1">
        <v>45046</v>
      </c>
      <c r="B1369" t="s">
        <v>11</v>
      </c>
      <c r="C1369" t="s">
        <v>24</v>
      </c>
      <c r="D1369" t="s">
        <v>13</v>
      </c>
      <c r="E1369" t="s">
        <v>14</v>
      </c>
      <c r="F1369" t="s">
        <v>15</v>
      </c>
      <c r="G1369">
        <v>26.86</v>
      </c>
      <c r="H1369">
        <v>15</v>
      </c>
      <c r="I1369">
        <v>972.94</v>
      </c>
      <c r="J1369">
        <v>0</v>
      </c>
      <c r="K1369">
        <v>946.08</v>
      </c>
    </row>
    <row r="1370" spans="1:11" x14ac:dyDescent="0.3">
      <c r="A1370" s="1">
        <v>45241</v>
      </c>
      <c r="B1370" t="s">
        <v>23</v>
      </c>
      <c r="C1370" t="s">
        <v>12</v>
      </c>
      <c r="D1370" t="s">
        <v>19</v>
      </c>
      <c r="E1370" t="s">
        <v>20</v>
      </c>
      <c r="F1370" t="s">
        <v>16</v>
      </c>
      <c r="G1370">
        <v>12.79</v>
      </c>
      <c r="H1370">
        <v>14</v>
      </c>
      <c r="I1370">
        <v>1121.1199999999999</v>
      </c>
      <c r="J1370">
        <v>1</v>
      </c>
      <c r="K1370">
        <v>1078.79</v>
      </c>
    </row>
    <row r="1371" spans="1:11" x14ac:dyDescent="0.3">
      <c r="A1371" s="1">
        <v>44991</v>
      </c>
      <c r="B1371" t="s">
        <v>11</v>
      </c>
      <c r="C1371" t="s">
        <v>18</v>
      </c>
      <c r="D1371" t="s">
        <v>25</v>
      </c>
      <c r="E1371" t="s">
        <v>14</v>
      </c>
      <c r="F1371" t="s">
        <v>22</v>
      </c>
      <c r="G1371">
        <v>176.08</v>
      </c>
      <c r="H1371">
        <v>15</v>
      </c>
      <c r="I1371">
        <v>168.11</v>
      </c>
      <c r="J1371">
        <v>3</v>
      </c>
      <c r="K1371">
        <v>-101.09</v>
      </c>
    </row>
    <row r="1372" spans="1:11" x14ac:dyDescent="0.3">
      <c r="A1372" s="1">
        <v>45115</v>
      </c>
      <c r="B1372" t="s">
        <v>17</v>
      </c>
      <c r="C1372" t="s">
        <v>18</v>
      </c>
      <c r="D1372" t="s">
        <v>27</v>
      </c>
      <c r="E1372" t="s">
        <v>14</v>
      </c>
      <c r="F1372" t="s">
        <v>16</v>
      </c>
      <c r="G1372">
        <v>46.15</v>
      </c>
      <c r="H1372">
        <v>15</v>
      </c>
      <c r="I1372">
        <v>599.79</v>
      </c>
      <c r="J1372">
        <v>0</v>
      </c>
      <c r="K1372">
        <v>553.64</v>
      </c>
    </row>
    <row r="1373" spans="1:11" x14ac:dyDescent="0.3">
      <c r="A1373" s="1">
        <v>45082</v>
      </c>
      <c r="B1373" t="s">
        <v>17</v>
      </c>
      <c r="C1373" t="s">
        <v>18</v>
      </c>
      <c r="D1373" t="s">
        <v>25</v>
      </c>
      <c r="E1373" t="s">
        <v>14</v>
      </c>
      <c r="F1373" t="s">
        <v>22</v>
      </c>
      <c r="G1373">
        <v>171.09</v>
      </c>
      <c r="H1373">
        <v>2</v>
      </c>
      <c r="I1373">
        <v>50.69</v>
      </c>
      <c r="J1373">
        <v>0</v>
      </c>
      <c r="K1373">
        <v>-120.4</v>
      </c>
    </row>
    <row r="1374" spans="1:11" x14ac:dyDescent="0.3">
      <c r="A1374" s="1">
        <v>45120</v>
      </c>
      <c r="B1374" t="s">
        <v>17</v>
      </c>
      <c r="C1374" t="s">
        <v>12</v>
      </c>
      <c r="D1374" t="s">
        <v>19</v>
      </c>
      <c r="E1374" t="s">
        <v>20</v>
      </c>
      <c r="F1374" t="s">
        <v>26</v>
      </c>
      <c r="G1374">
        <v>45.53</v>
      </c>
      <c r="H1374">
        <v>6</v>
      </c>
      <c r="I1374">
        <v>472.2</v>
      </c>
      <c r="J1374">
        <v>3</v>
      </c>
      <c r="K1374">
        <v>314.66000000000003</v>
      </c>
    </row>
    <row r="1375" spans="1:11" x14ac:dyDescent="0.3">
      <c r="A1375" s="1">
        <v>45284</v>
      </c>
      <c r="B1375" t="s">
        <v>21</v>
      </c>
      <c r="C1375" t="s">
        <v>18</v>
      </c>
      <c r="D1375" t="s">
        <v>25</v>
      </c>
      <c r="E1375" t="s">
        <v>20</v>
      </c>
      <c r="F1375" t="s">
        <v>16</v>
      </c>
      <c r="G1375">
        <v>98.03</v>
      </c>
      <c r="H1375">
        <v>6</v>
      </c>
      <c r="I1375">
        <v>271.95999999999998</v>
      </c>
      <c r="J1375">
        <v>3</v>
      </c>
      <c r="K1375">
        <v>76.150000000000006</v>
      </c>
    </row>
    <row r="1376" spans="1:11" x14ac:dyDescent="0.3">
      <c r="A1376" s="1">
        <v>44955</v>
      </c>
      <c r="B1376" t="s">
        <v>21</v>
      </c>
      <c r="C1376" t="s">
        <v>12</v>
      </c>
      <c r="D1376" t="s">
        <v>28</v>
      </c>
      <c r="E1376" t="s">
        <v>20</v>
      </c>
      <c r="F1376" t="s">
        <v>15</v>
      </c>
      <c r="G1376">
        <v>96.59</v>
      </c>
      <c r="H1376">
        <v>2</v>
      </c>
      <c r="I1376">
        <v>85.89</v>
      </c>
      <c r="J1376">
        <v>0</v>
      </c>
      <c r="K1376">
        <v>-10.7</v>
      </c>
    </row>
    <row r="1377" spans="1:11" x14ac:dyDescent="0.3">
      <c r="A1377" s="1">
        <v>45037</v>
      </c>
      <c r="B1377" t="s">
        <v>11</v>
      </c>
      <c r="C1377" t="s">
        <v>29</v>
      </c>
      <c r="D1377" t="s">
        <v>13</v>
      </c>
      <c r="E1377" t="s">
        <v>20</v>
      </c>
      <c r="F1377" t="s">
        <v>16</v>
      </c>
      <c r="G1377">
        <v>104.87</v>
      </c>
      <c r="H1377">
        <v>15</v>
      </c>
      <c r="I1377">
        <v>583.98</v>
      </c>
      <c r="J1377">
        <v>2</v>
      </c>
      <c r="K1377">
        <v>424.6</v>
      </c>
    </row>
    <row r="1378" spans="1:11" x14ac:dyDescent="0.3">
      <c r="A1378" s="1">
        <v>44970</v>
      </c>
      <c r="B1378" t="s">
        <v>21</v>
      </c>
      <c r="C1378" t="s">
        <v>12</v>
      </c>
      <c r="D1378" t="s">
        <v>25</v>
      </c>
      <c r="E1378" t="s">
        <v>20</v>
      </c>
      <c r="F1378" t="s">
        <v>16</v>
      </c>
      <c r="G1378">
        <v>144.19</v>
      </c>
      <c r="H1378">
        <v>8</v>
      </c>
      <c r="I1378">
        <v>349.06</v>
      </c>
      <c r="J1378">
        <v>1</v>
      </c>
      <c r="K1378">
        <v>183.05</v>
      </c>
    </row>
    <row r="1379" spans="1:11" x14ac:dyDescent="0.3">
      <c r="A1379" s="1">
        <v>45228</v>
      </c>
      <c r="B1379" t="s">
        <v>23</v>
      </c>
      <c r="C1379" t="s">
        <v>29</v>
      </c>
      <c r="D1379" t="s">
        <v>13</v>
      </c>
      <c r="E1379" t="s">
        <v>14</v>
      </c>
      <c r="F1379" t="s">
        <v>26</v>
      </c>
      <c r="G1379">
        <v>153.78</v>
      </c>
      <c r="H1379">
        <v>4</v>
      </c>
      <c r="I1379">
        <v>239.87</v>
      </c>
      <c r="J1379">
        <v>3</v>
      </c>
      <c r="K1379">
        <v>2.1800000000000002</v>
      </c>
    </row>
    <row r="1380" spans="1:11" x14ac:dyDescent="0.3">
      <c r="A1380" s="1">
        <v>45161</v>
      </c>
      <c r="B1380" t="s">
        <v>17</v>
      </c>
      <c r="C1380" t="s">
        <v>24</v>
      </c>
      <c r="D1380" t="s">
        <v>19</v>
      </c>
      <c r="E1380" t="s">
        <v>20</v>
      </c>
      <c r="F1380" t="s">
        <v>16</v>
      </c>
      <c r="G1380">
        <v>155.38</v>
      </c>
      <c r="H1380">
        <v>2</v>
      </c>
      <c r="I1380">
        <v>160</v>
      </c>
      <c r="J1380">
        <v>0</v>
      </c>
      <c r="K1380">
        <v>4.62</v>
      </c>
    </row>
    <row r="1381" spans="1:11" x14ac:dyDescent="0.3">
      <c r="A1381" s="1">
        <v>45079</v>
      </c>
      <c r="B1381" t="s">
        <v>17</v>
      </c>
      <c r="C1381" t="s">
        <v>29</v>
      </c>
      <c r="D1381" t="s">
        <v>25</v>
      </c>
      <c r="E1381" t="s">
        <v>20</v>
      </c>
      <c r="F1381" t="s">
        <v>15</v>
      </c>
      <c r="G1381">
        <v>59.6</v>
      </c>
      <c r="H1381">
        <v>8</v>
      </c>
      <c r="I1381">
        <v>382.64</v>
      </c>
      <c r="J1381">
        <v>2</v>
      </c>
      <c r="K1381">
        <v>272.95</v>
      </c>
    </row>
    <row r="1382" spans="1:11" x14ac:dyDescent="0.3">
      <c r="A1382" s="1">
        <v>45227</v>
      </c>
      <c r="B1382" t="s">
        <v>23</v>
      </c>
      <c r="C1382" t="s">
        <v>18</v>
      </c>
      <c r="D1382" t="s">
        <v>28</v>
      </c>
      <c r="E1382" t="s">
        <v>14</v>
      </c>
      <c r="F1382" t="s">
        <v>26</v>
      </c>
      <c r="G1382">
        <v>25.72</v>
      </c>
      <c r="H1382">
        <v>3</v>
      </c>
      <c r="I1382">
        <v>117.76</v>
      </c>
      <c r="J1382">
        <v>1</v>
      </c>
      <c r="K1382">
        <v>47.41</v>
      </c>
    </row>
    <row r="1383" spans="1:11" x14ac:dyDescent="0.3">
      <c r="A1383" s="1">
        <v>45004</v>
      </c>
      <c r="B1383" t="s">
        <v>11</v>
      </c>
      <c r="C1383" t="s">
        <v>18</v>
      </c>
      <c r="D1383" t="s">
        <v>19</v>
      </c>
      <c r="E1383" t="s">
        <v>20</v>
      </c>
      <c r="F1383" t="s">
        <v>26</v>
      </c>
      <c r="G1383">
        <v>56.81</v>
      </c>
      <c r="H1383">
        <v>13</v>
      </c>
      <c r="I1383">
        <v>215.03</v>
      </c>
      <c r="J1383">
        <v>1</v>
      </c>
      <c r="K1383">
        <v>140.30000000000001</v>
      </c>
    </row>
    <row r="1384" spans="1:11" x14ac:dyDescent="0.3">
      <c r="A1384" s="1">
        <v>45001</v>
      </c>
      <c r="B1384" t="s">
        <v>11</v>
      </c>
      <c r="C1384" t="s">
        <v>12</v>
      </c>
      <c r="D1384" t="s">
        <v>25</v>
      </c>
      <c r="E1384" t="s">
        <v>14</v>
      </c>
      <c r="F1384" t="s">
        <v>16</v>
      </c>
      <c r="G1384">
        <v>150.81</v>
      </c>
      <c r="H1384">
        <v>2</v>
      </c>
      <c r="I1384">
        <v>59.93</v>
      </c>
      <c r="J1384">
        <v>0</v>
      </c>
      <c r="K1384">
        <v>-90.88</v>
      </c>
    </row>
    <row r="1385" spans="1:11" x14ac:dyDescent="0.3">
      <c r="A1385" s="1">
        <v>45138</v>
      </c>
      <c r="B1385" t="s">
        <v>17</v>
      </c>
      <c r="C1385" t="s">
        <v>29</v>
      </c>
      <c r="D1385" t="s">
        <v>19</v>
      </c>
      <c r="E1385" t="s">
        <v>20</v>
      </c>
      <c r="F1385" t="s">
        <v>16</v>
      </c>
      <c r="G1385">
        <v>163.79</v>
      </c>
      <c r="H1385">
        <v>1</v>
      </c>
      <c r="I1385">
        <v>70.569999999999993</v>
      </c>
      <c r="J1385">
        <v>0</v>
      </c>
      <c r="K1385">
        <v>-93.22</v>
      </c>
    </row>
    <row r="1386" spans="1:11" x14ac:dyDescent="0.3">
      <c r="A1386" s="1">
        <v>45050</v>
      </c>
      <c r="B1386" t="s">
        <v>11</v>
      </c>
      <c r="C1386" t="s">
        <v>12</v>
      </c>
      <c r="D1386" t="s">
        <v>13</v>
      </c>
      <c r="E1386" t="s">
        <v>14</v>
      </c>
      <c r="F1386" t="s">
        <v>16</v>
      </c>
      <c r="G1386">
        <v>62.5</v>
      </c>
      <c r="H1386">
        <v>15</v>
      </c>
      <c r="I1386">
        <v>354.06</v>
      </c>
      <c r="J1386">
        <v>1</v>
      </c>
      <c r="K1386">
        <v>283.05</v>
      </c>
    </row>
    <row r="1387" spans="1:11" x14ac:dyDescent="0.3">
      <c r="A1387" s="1">
        <v>45188</v>
      </c>
      <c r="B1387" t="s">
        <v>23</v>
      </c>
      <c r="C1387" t="s">
        <v>24</v>
      </c>
      <c r="D1387" t="s">
        <v>27</v>
      </c>
      <c r="E1387" t="s">
        <v>20</v>
      </c>
      <c r="F1387" t="s">
        <v>15</v>
      </c>
      <c r="G1387">
        <v>48.59</v>
      </c>
      <c r="H1387">
        <v>1</v>
      </c>
      <c r="I1387">
        <v>80.27</v>
      </c>
      <c r="J1387">
        <v>1</v>
      </c>
      <c r="K1387">
        <v>8.66</v>
      </c>
    </row>
    <row r="1388" spans="1:11" x14ac:dyDescent="0.3">
      <c r="A1388" s="1">
        <v>45107</v>
      </c>
      <c r="B1388" t="s">
        <v>17</v>
      </c>
      <c r="C1388" t="s">
        <v>24</v>
      </c>
      <c r="D1388" t="s">
        <v>13</v>
      </c>
      <c r="E1388" t="s">
        <v>20</v>
      </c>
      <c r="F1388" t="s">
        <v>15</v>
      </c>
      <c r="G1388">
        <v>185.08</v>
      </c>
      <c r="H1388">
        <v>3</v>
      </c>
      <c r="I1388">
        <v>59.61</v>
      </c>
      <c r="J1388">
        <v>2</v>
      </c>
      <c r="K1388">
        <v>-217.08</v>
      </c>
    </row>
    <row r="1389" spans="1:11" x14ac:dyDescent="0.3">
      <c r="A1389" s="1">
        <v>45108</v>
      </c>
      <c r="B1389" t="s">
        <v>17</v>
      </c>
      <c r="C1389" t="s">
        <v>24</v>
      </c>
      <c r="D1389" t="s">
        <v>25</v>
      </c>
      <c r="E1389" t="s">
        <v>20</v>
      </c>
      <c r="F1389" t="s">
        <v>16</v>
      </c>
      <c r="G1389">
        <v>122.08</v>
      </c>
      <c r="H1389">
        <v>13</v>
      </c>
      <c r="I1389">
        <v>1244.72</v>
      </c>
      <c r="J1389">
        <v>1</v>
      </c>
      <c r="K1389">
        <v>1073.3800000000001</v>
      </c>
    </row>
    <row r="1390" spans="1:11" x14ac:dyDescent="0.3">
      <c r="A1390" s="1">
        <v>45190</v>
      </c>
      <c r="B1390" t="s">
        <v>23</v>
      </c>
      <c r="C1390" t="s">
        <v>24</v>
      </c>
      <c r="D1390" t="s">
        <v>28</v>
      </c>
      <c r="E1390" t="s">
        <v>14</v>
      </c>
      <c r="F1390" t="s">
        <v>22</v>
      </c>
      <c r="G1390">
        <v>10.23</v>
      </c>
      <c r="H1390">
        <v>11</v>
      </c>
      <c r="I1390">
        <v>713.68</v>
      </c>
      <c r="J1390">
        <v>0</v>
      </c>
      <c r="K1390">
        <v>703.45</v>
      </c>
    </row>
    <row r="1391" spans="1:11" x14ac:dyDescent="0.3">
      <c r="A1391" s="1">
        <v>45239</v>
      </c>
      <c r="B1391" t="s">
        <v>23</v>
      </c>
      <c r="C1391" t="s">
        <v>18</v>
      </c>
      <c r="D1391" t="s">
        <v>28</v>
      </c>
      <c r="E1391" t="s">
        <v>14</v>
      </c>
      <c r="F1391" t="s">
        <v>26</v>
      </c>
      <c r="G1391">
        <v>116.83</v>
      </c>
      <c r="H1391">
        <v>3</v>
      </c>
      <c r="I1391">
        <v>124.07</v>
      </c>
      <c r="J1391">
        <v>2</v>
      </c>
      <c r="K1391">
        <v>-12.38</v>
      </c>
    </row>
    <row r="1392" spans="1:11" x14ac:dyDescent="0.3">
      <c r="A1392" s="1">
        <v>45199</v>
      </c>
      <c r="B1392" t="s">
        <v>23</v>
      </c>
      <c r="C1392" t="s">
        <v>29</v>
      </c>
      <c r="D1392" t="s">
        <v>13</v>
      </c>
      <c r="E1392" t="s">
        <v>14</v>
      </c>
      <c r="F1392" t="s">
        <v>15</v>
      </c>
      <c r="G1392">
        <v>168.64</v>
      </c>
      <c r="H1392">
        <v>9</v>
      </c>
      <c r="I1392">
        <v>629.91</v>
      </c>
      <c r="J1392">
        <v>1</v>
      </c>
      <c r="K1392">
        <v>413.89</v>
      </c>
    </row>
    <row r="1393" spans="1:11" x14ac:dyDescent="0.3">
      <c r="A1393" s="1">
        <v>45076</v>
      </c>
      <c r="B1393" t="s">
        <v>11</v>
      </c>
      <c r="C1393" t="s">
        <v>18</v>
      </c>
      <c r="D1393" t="s">
        <v>27</v>
      </c>
      <c r="E1393" t="s">
        <v>20</v>
      </c>
      <c r="F1393" t="s">
        <v>16</v>
      </c>
      <c r="G1393">
        <v>120.72</v>
      </c>
      <c r="H1393">
        <v>11</v>
      </c>
      <c r="I1393">
        <v>169.46</v>
      </c>
      <c r="J1393">
        <v>3</v>
      </c>
      <c r="K1393">
        <v>-49.53</v>
      </c>
    </row>
    <row r="1394" spans="1:11" x14ac:dyDescent="0.3">
      <c r="A1394" s="1">
        <v>45125</v>
      </c>
      <c r="B1394" t="s">
        <v>17</v>
      </c>
      <c r="C1394" t="s">
        <v>29</v>
      </c>
      <c r="D1394" t="s">
        <v>25</v>
      </c>
      <c r="E1394" t="s">
        <v>20</v>
      </c>
      <c r="F1394" t="s">
        <v>26</v>
      </c>
      <c r="G1394">
        <v>77.459999999999994</v>
      </c>
      <c r="H1394">
        <v>14</v>
      </c>
      <c r="I1394">
        <v>1031.98</v>
      </c>
      <c r="J1394">
        <v>2</v>
      </c>
      <c r="K1394">
        <v>858.56</v>
      </c>
    </row>
    <row r="1395" spans="1:11" x14ac:dyDescent="0.3">
      <c r="A1395" s="1">
        <v>45122</v>
      </c>
      <c r="B1395" t="s">
        <v>17</v>
      </c>
      <c r="C1395" t="s">
        <v>12</v>
      </c>
      <c r="D1395" t="s">
        <v>19</v>
      </c>
      <c r="E1395" t="s">
        <v>20</v>
      </c>
      <c r="F1395" t="s">
        <v>16</v>
      </c>
      <c r="G1395">
        <v>41.4</v>
      </c>
      <c r="H1395">
        <v>5</v>
      </c>
      <c r="I1395">
        <v>445.86</v>
      </c>
      <c r="J1395">
        <v>3</v>
      </c>
      <c r="K1395">
        <v>372.84</v>
      </c>
    </row>
    <row r="1396" spans="1:11" x14ac:dyDescent="0.3">
      <c r="A1396" s="1">
        <v>45016</v>
      </c>
      <c r="B1396" t="s">
        <v>11</v>
      </c>
      <c r="C1396" t="s">
        <v>24</v>
      </c>
      <c r="D1396" t="s">
        <v>25</v>
      </c>
      <c r="E1396" t="s">
        <v>20</v>
      </c>
      <c r="F1396" t="s">
        <v>22</v>
      </c>
      <c r="G1396">
        <v>118.03</v>
      </c>
      <c r="H1396">
        <v>2</v>
      </c>
      <c r="I1396">
        <v>168.79</v>
      </c>
      <c r="J1396">
        <v>0</v>
      </c>
      <c r="K1396">
        <v>50.76</v>
      </c>
    </row>
    <row r="1397" spans="1:11" x14ac:dyDescent="0.3">
      <c r="A1397" s="1">
        <v>45241</v>
      </c>
      <c r="B1397" t="s">
        <v>23</v>
      </c>
      <c r="C1397" t="s">
        <v>12</v>
      </c>
      <c r="D1397" t="s">
        <v>28</v>
      </c>
      <c r="E1397" t="s">
        <v>14</v>
      </c>
      <c r="F1397" t="s">
        <v>16</v>
      </c>
      <c r="G1397">
        <v>126.59</v>
      </c>
      <c r="H1397">
        <v>12</v>
      </c>
      <c r="I1397">
        <v>722.5</v>
      </c>
      <c r="J1397">
        <v>1</v>
      </c>
      <c r="K1397">
        <v>575.89</v>
      </c>
    </row>
    <row r="1398" spans="1:11" x14ac:dyDescent="0.3">
      <c r="A1398" s="1">
        <v>45176</v>
      </c>
      <c r="B1398" t="s">
        <v>23</v>
      </c>
      <c r="C1398" t="s">
        <v>18</v>
      </c>
      <c r="D1398" t="s">
        <v>19</v>
      </c>
      <c r="E1398" t="s">
        <v>14</v>
      </c>
      <c r="F1398" t="s">
        <v>26</v>
      </c>
      <c r="G1398">
        <v>34.03</v>
      </c>
      <c r="H1398">
        <v>7</v>
      </c>
      <c r="I1398">
        <v>517.07000000000005</v>
      </c>
      <c r="J1398">
        <v>0</v>
      </c>
      <c r="K1398">
        <v>483.04</v>
      </c>
    </row>
    <row r="1399" spans="1:11" x14ac:dyDescent="0.3">
      <c r="A1399" s="1">
        <v>45075</v>
      </c>
      <c r="B1399" t="s">
        <v>11</v>
      </c>
      <c r="C1399" t="s">
        <v>29</v>
      </c>
      <c r="D1399" t="s">
        <v>27</v>
      </c>
      <c r="E1399" t="s">
        <v>20</v>
      </c>
      <c r="F1399" t="s">
        <v>26</v>
      </c>
      <c r="G1399">
        <v>133.69999999999999</v>
      </c>
      <c r="H1399">
        <v>13</v>
      </c>
      <c r="I1399">
        <v>886.55</v>
      </c>
      <c r="J1399">
        <v>2</v>
      </c>
      <c r="K1399">
        <v>680.37</v>
      </c>
    </row>
    <row r="1400" spans="1:11" x14ac:dyDescent="0.3">
      <c r="A1400" s="1">
        <v>45287</v>
      </c>
      <c r="B1400" t="s">
        <v>21</v>
      </c>
      <c r="C1400" t="s">
        <v>24</v>
      </c>
      <c r="D1400" t="s">
        <v>27</v>
      </c>
      <c r="E1400" t="s">
        <v>20</v>
      </c>
      <c r="F1400" t="s">
        <v>15</v>
      </c>
      <c r="G1400">
        <v>14.4</v>
      </c>
      <c r="H1400">
        <v>17</v>
      </c>
      <c r="I1400">
        <v>444.94</v>
      </c>
      <c r="J1400">
        <v>0</v>
      </c>
      <c r="K1400">
        <v>430.54</v>
      </c>
    </row>
    <row r="1401" spans="1:11" x14ac:dyDescent="0.3">
      <c r="A1401" s="1">
        <v>45091</v>
      </c>
      <c r="B1401" t="s">
        <v>17</v>
      </c>
      <c r="C1401" t="s">
        <v>18</v>
      </c>
      <c r="D1401" t="s">
        <v>27</v>
      </c>
      <c r="E1401" t="s">
        <v>20</v>
      </c>
      <c r="F1401" t="s">
        <v>15</v>
      </c>
      <c r="G1401">
        <v>106.78</v>
      </c>
      <c r="H1401">
        <v>15</v>
      </c>
      <c r="I1401">
        <v>376.42</v>
      </c>
      <c r="J1401">
        <v>3</v>
      </c>
      <c r="K1401">
        <v>144.01</v>
      </c>
    </row>
    <row r="1402" spans="1:11" x14ac:dyDescent="0.3">
      <c r="A1402" s="1">
        <v>44968</v>
      </c>
      <c r="B1402" t="s">
        <v>21</v>
      </c>
      <c r="C1402" t="s">
        <v>12</v>
      </c>
      <c r="D1402" t="s">
        <v>19</v>
      </c>
      <c r="E1402" t="s">
        <v>20</v>
      </c>
      <c r="F1402" t="s">
        <v>16</v>
      </c>
      <c r="G1402">
        <v>51.46</v>
      </c>
      <c r="H1402">
        <v>1</v>
      </c>
      <c r="I1402">
        <v>13.71</v>
      </c>
      <c r="J1402">
        <v>1</v>
      </c>
      <c r="K1402">
        <v>-48.6</v>
      </c>
    </row>
    <row r="1403" spans="1:11" x14ac:dyDescent="0.3">
      <c r="A1403" s="1">
        <v>45149</v>
      </c>
      <c r="B1403" t="s">
        <v>17</v>
      </c>
      <c r="C1403" t="s">
        <v>29</v>
      </c>
      <c r="D1403" t="s">
        <v>28</v>
      </c>
      <c r="E1403" t="s">
        <v>20</v>
      </c>
      <c r="F1403" t="s">
        <v>16</v>
      </c>
      <c r="G1403">
        <v>32.340000000000003</v>
      </c>
      <c r="H1403">
        <v>16</v>
      </c>
      <c r="I1403">
        <v>748.57</v>
      </c>
      <c r="J1403">
        <v>0</v>
      </c>
      <c r="K1403">
        <v>716.23</v>
      </c>
    </row>
    <row r="1404" spans="1:11" x14ac:dyDescent="0.3">
      <c r="A1404" s="1">
        <v>45240</v>
      </c>
      <c r="B1404" t="s">
        <v>23</v>
      </c>
      <c r="C1404" t="s">
        <v>29</v>
      </c>
      <c r="D1404" t="s">
        <v>19</v>
      </c>
      <c r="E1404" t="s">
        <v>14</v>
      </c>
      <c r="F1404" t="s">
        <v>22</v>
      </c>
      <c r="G1404">
        <v>159.08000000000001</v>
      </c>
      <c r="H1404">
        <v>17</v>
      </c>
      <c r="I1404">
        <v>1033.42</v>
      </c>
      <c r="J1404">
        <v>3</v>
      </c>
      <c r="K1404">
        <v>787.55</v>
      </c>
    </row>
    <row r="1405" spans="1:11" x14ac:dyDescent="0.3">
      <c r="A1405" s="1">
        <v>44996</v>
      </c>
      <c r="B1405" t="s">
        <v>11</v>
      </c>
      <c r="C1405" t="s">
        <v>12</v>
      </c>
      <c r="D1405" t="s">
        <v>28</v>
      </c>
      <c r="E1405" t="s">
        <v>14</v>
      </c>
      <c r="F1405" t="s">
        <v>16</v>
      </c>
      <c r="G1405">
        <v>183.59</v>
      </c>
      <c r="H1405">
        <v>19</v>
      </c>
      <c r="I1405">
        <v>1227.08</v>
      </c>
      <c r="J1405">
        <v>2</v>
      </c>
      <c r="K1405">
        <v>1019.58</v>
      </c>
    </row>
    <row r="1406" spans="1:11" x14ac:dyDescent="0.3">
      <c r="A1406" s="1">
        <v>45245</v>
      </c>
      <c r="B1406" t="s">
        <v>23</v>
      </c>
      <c r="C1406" t="s">
        <v>29</v>
      </c>
      <c r="D1406" t="s">
        <v>28</v>
      </c>
      <c r="E1406" t="s">
        <v>20</v>
      </c>
      <c r="F1406" t="s">
        <v>22</v>
      </c>
      <c r="G1406">
        <v>30.98</v>
      </c>
      <c r="H1406">
        <v>11</v>
      </c>
      <c r="I1406">
        <v>419.64</v>
      </c>
      <c r="J1406">
        <v>1</v>
      </c>
      <c r="K1406">
        <v>375.86</v>
      </c>
    </row>
    <row r="1407" spans="1:11" x14ac:dyDescent="0.3">
      <c r="A1407" s="1">
        <v>44977</v>
      </c>
      <c r="B1407" t="s">
        <v>21</v>
      </c>
      <c r="C1407" t="s">
        <v>24</v>
      </c>
      <c r="D1407" t="s">
        <v>25</v>
      </c>
      <c r="E1407" t="s">
        <v>20</v>
      </c>
      <c r="F1407" t="s">
        <v>15</v>
      </c>
      <c r="G1407">
        <v>58.45</v>
      </c>
      <c r="H1407">
        <v>7</v>
      </c>
      <c r="I1407">
        <v>370.52</v>
      </c>
      <c r="J1407">
        <v>2</v>
      </c>
      <c r="K1407">
        <v>262.23</v>
      </c>
    </row>
    <row r="1408" spans="1:11" x14ac:dyDescent="0.3">
      <c r="A1408" s="1">
        <v>45061</v>
      </c>
      <c r="B1408" t="s">
        <v>11</v>
      </c>
      <c r="C1408" t="s">
        <v>24</v>
      </c>
      <c r="D1408" t="s">
        <v>25</v>
      </c>
      <c r="E1408" t="s">
        <v>20</v>
      </c>
      <c r="F1408" t="s">
        <v>26</v>
      </c>
      <c r="G1408">
        <v>26.94</v>
      </c>
      <c r="H1408">
        <v>15</v>
      </c>
      <c r="I1408">
        <v>513.29</v>
      </c>
      <c r="J1408">
        <v>1</v>
      </c>
      <c r="K1408">
        <v>437.65</v>
      </c>
    </row>
    <row r="1409" spans="1:11" x14ac:dyDescent="0.3">
      <c r="A1409" s="1">
        <v>45131</v>
      </c>
      <c r="B1409" t="s">
        <v>17</v>
      </c>
      <c r="C1409" t="s">
        <v>29</v>
      </c>
      <c r="D1409" t="s">
        <v>13</v>
      </c>
      <c r="E1409" t="s">
        <v>20</v>
      </c>
      <c r="F1409" t="s">
        <v>15</v>
      </c>
      <c r="G1409">
        <v>169.89</v>
      </c>
      <c r="H1409">
        <v>12</v>
      </c>
      <c r="I1409">
        <v>771.25</v>
      </c>
      <c r="J1409">
        <v>1</v>
      </c>
      <c r="K1409">
        <v>574.49</v>
      </c>
    </row>
    <row r="1410" spans="1:11" x14ac:dyDescent="0.3">
      <c r="A1410" s="1">
        <v>45147</v>
      </c>
      <c r="B1410" t="s">
        <v>17</v>
      </c>
      <c r="C1410" t="s">
        <v>24</v>
      </c>
      <c r="D1410" t="s">
        <v>19</v>
      </c>
      <c r="E1410" t="s">
        <v>14</v>
      </c>
      <c r="F1410" t="s">
        <v>22</v>
      </c>
      <c r="G1410">
        <v>87.45</v>
      </c>
      <c r="H1410">
        <v>12</v>
      </c>
      <c r="I1410">
        <v>895.68</v>
      </c>
      <c r="J1410">
        <v>2</v>
      </c>
      <c r="K1410">
        <v>773.36</v>
      </c>
    </row>
    <row r="1411" spans="1:11" x14ac:dyDescent="0.3">
      <c r="A1411" s="1">
        <v>45184</v>
      </c>
      <c r="B1411" t="s">
        <v>23</v>
      </c>
      <c r="C1411" t="s">
        <v>29</v>
      </c>
      <c r="D1411" t="s">
        <v>28</v>
      </c>
      <c r="E1411" t="s">
        <v>14</v>
      </c>
      <c r="F1411" t="s">
        <v>26</v>
      </c>
      <c r="G1411">
        <v>170.66</v>
      </c>
      <c r="H1411">
        <v>6</v>
      </c>
      <c r="I1411">
        <v>478.64</v>
      </c>
      <c r="J1411">
        <v>2</v>
      </c>
      <c r="K1411">
        <v>266.24</v>
      </c>
    </row>
    <row r="1412" spans="1:11" x14ac:dyDescent="0.3">
      <c r="A1412" s="1">
        <v>45183</v>
      </c>
      <c r="B1412" t="s">
        <v>23</v>
      </c>
      <c r="C1412" t="s">
        <v>24</v>
      </c>
      <c r="D1412" t="s">
        <v>13</v>
      </c>
      <c r="E1412" t="s">
        <v>14</v>
      </c>
      <c r="F1412" t="s">
        <v>16</v>
      </c>
      <c r="G1412">
        <v>34.159999999999997</v>
      </c>
      <c r="H1412">
        <v>15</v>
      </c>
      <c r="I1412">
        <v>1393.95</v>
      </c>
      <c r="J1412">
        <v>2</v>
      </c>
      <c r="K1412">
        <v>1305.6500000000001</v>
      </c>
    </row>
    <row r="1413" spans="1:11" x14ac:dyDescent="0.3">
      <c r="A1413" s="1">
        <v>45213</v>
      </c>
      <c r="B1413" t="s">
        <v>23</v>
      </c>
      <c r="C1413" t="s">
        <v>12</v>
      </c>
      <c r="D1413" t="s">
        <v>28</v>
      </c>
      <c r="E1413" t="s">
        <v>14</v>
      </c>
      <c r="F1413" t="s">
        <v>26</v>
      </c>
      <c r="G1413">
        <v>107.47</v>
      </c>
      <c r="H1413">
        <v>4</v>
      </c>
      <c r="I1413">
        <v>385.86</v>
      </c>
      <c r="J1413">
        <v>0</v>
      </c>
      <c r="K1413">
        <v>278.39</v>
      </c>
    </row>
    <row r="1414" spans="1:11" x14ac:dyDescent="0.3">
      <c r="A1414" s="1">
        <v>45137</v>
      </c>
      <c r="B1414" t="s">
        <v>17</v>
      </c>
      <c r="C1414" t="s">
        <v>18</v>
      </c>
      <c r="D1414" t="s">
        <v>27</v>
      </c>
      <c r="E1414" t="s">
        <v>14</v>
      </c>
      <c r="F1414" t="s">
        <v>22</v>
      </c>
      <c r="G1414">
        <v>52.59</v>
      </c>
      <c r="H1414">
        <v>12</v>
      </c>
      <c r="I1414">
        <v>838.82</v>
      </c>
      <c r="J1414">
        <v>1</v>
      </c>
      <c r="K1414">
        <v>751.72</v>
      </c>
    </row>
    <row r="1415" spans="1:11" x14ac:dyDescent="0.3">
      <c r="A1415" s="1">
        <v>45136</v>
      </c>
      <c r="B1415" t="s">
        <v>17</v>
      </c>
      <c r="C1415" t="s">
        <v>12</v>
      </c>
      <c r="D1415" t="s">
        <v>25</v>
      </c>
      <c r="E1415" t="s">
        <v>20</v>
      </c>
      <c r="F1415" t="s">
        <v>16</v>
      </c>
      <c r="G1415">
        <v>152.88</v>
      </c>
      <c r="H1415">
        <v>16</v>
      </c>
      <c r="I1415">
        <v>652.04</v>
      </c>
      <c r="J1415">
        <v>2</v>
      </c>
      <c r="K1415">
        <v>417.83</v>
      </c>
    </row>
    <row r="1416" spans="1:11" x14ac:dyDescent="0.3">
      <c r="A1416" s="1">
        <v>45238</v>
      </c>
      <c r="B1416" t="s">
        <v>23</v>
      </c>
      <c r="C1416" t="s">
        <v>18</v>
      </c>
      <c r="D1416" t="s">
        <v>19</v>
      </c>
      <c r="E1416" t="s">
        <v>20</v>
      </c>
      <c r="F1416" t="s">
        <v>26</v>
      </c>
      <c r="G1416">
        <v>51.36</v>
      </c>
      <c r="H1416">
        <v>8</v>
      </c>
      <c r="I1416">
        <v>188.77</v>
      </c>
      <c r="J1416">
        <v>3</v>
      </c>
      <c r="K1416">
        <v>-1.46</v>
      </c>
    </row>
    <row r="1417" spans="1:11" x14ac:dyDescent="0.3">
      <c r="A1417" s="1">
        <v>45204</v>
      </c>
      <c r="B1417" t="s">
        <v>23</v>
      </c>
      <c r="C1417" t="s">
        <v>12</v>
      </c>
      <c r="D1417" t="s">
        <v>25</v>
      </c>
      <c r="E1417" t="s">
        <v>14</v>
      </c>
      <c r="F1417" t="s">
        <v>22</v>
      </c>
      <c r="G1417">
        <v>59</v>
      </c>
      <c r="H1417">
        <v>13</v>
      </c>
      <c r="I1417">
        <v>484.08</v>
      </c>
      <c r="J1417">
        <v>1</v>
      </c>
      <c r="K1417">
        <v>411.68</v>
      </c>
    </row>
    <row r="1418" spans="1:11" x14ac:dyDescent="0.3">
      <c r="A1418" s="1">
        <v>45276</v>
      </c>
      <c r="B1418" t="s">
        <v>21</v>
      </c>
      <c r="C1418" t="s">
        <v>24</v>
      </c>
      <c r="D1418" t="s">
        <v>28</v>
      </c>
      <c r="E1418" t="s">
        <v>20</v>
      </c>
      <c r="F1418" t="s">
        <v>15</v>
      </c>
      <c r="G1418">
        <v>185.12</v>
      </c>
      <c r="H1418">
        <v>3</v>
      </c>
      <c r="I1418">
        <v>122.21</v>
      </c>
      <c r="J1418">
        <v>1</v>
      </c>
      <c r="K1418">
        <v>-105.34</v>
      </c>
    </row>
    <row r="1419" spans="1:11" x14ac:dyDescent="0.3">
      <c r="A1419" s="1">
        <v>45202</v>
      </c>
      <c r="B1419" t="s">
        <v>23</v>
      </c>
      <c r="C1419" t="s">
        <v>29</v>
      </c>
      <c r="D1419" t="s">
        <v>27</v>
      </c>
      <c r="E1419" t="s">
        <v>14</v>
      </c>
      <c r="F1419" t="s">
        <v>26</v>
      </c>
      <c r="G1419">
        <v>138.55000000000001</v>
      </c>
      <c r="H1419">
        <v>19</v>
      </c>
      <c r="I1419">
        <v>576.98</v>
      </c>
      <c r="J1419">
        <v>1</v>
      </c>
      <c r="K1419">
        <v>416.01</v>
      </c>
    </row>
    <row r="1420" spans="1:11" x14ac:dyDescent="0.3">
      <c r="A1420" s="1">
        <v>45140</v>
      </c>
      <c r="B1420" t="s">
        <v>17</v>
      </c>
      <c r="C1420" t="s">
        <v>29</v>
      </c>
      <c r="D1420" t="s">
        <v>25</v>
      </c>
      <c r="E1420" t="s">
        <v>20</v>
      </c>
      <c r="F1420" t="s">
        <v>15</v>
      </c>
      <c r="G1420">
        <v>40.47</v>
      </c>
      <c r="H1420">
        <v>1</v>
      </c>
      <c r="I1420">
        <v>54.94</v>
      </c>
      <c r="J1420">
        <v>1</v>
      </c>
      <c r="K1420">
        <v>-23.08</v>
      </c>
    </row>
    <row r="1421" spans="1:11" x14ac:dyDescent="0.3">
      <c r="A1421" s="1">
        <v>45129</v>
      </c>
      <c r="B1421" t="s">
        <v>17</v>
      </c>
      <c r="C1421" t="s">
        <v>24</v>
      </c>
      <c r="D1421" t="s">
        <v>27</v>
      </c>
      <c r="E1421" t="s">
        <v>20</v>
      </c>
      <c r="F1421" t="s">
        <v>26</v>
      </c>
      <c r="G1421">
        <v>168.92</v>
      </c>
      <c r="H1421">
        <v>15</v>
      </c>
      <c r="I1421">
        <v>872.41</v>
      </c>
      <c r="J1421">
        <v>1</v>
      </c>
      <c r="K1421">
        <v>689.93</v>
      </c>
    </row>
    <row r="1422" spans="1:11" x14ac:dyDescent="0.3">
      <c r="A1422" s="1">
        <v>45196</v>
      </c>
      <c r="B1422" t="s">
        <v>23</v>
      </c>
      <c r="C1422" t="s">
        <v>29</v>
      </c>
      <c r="D1422" t="s">
        <v>28</v>
      </c>
      <c r="E1422" t="s">
        <v>20</v>
      </c>
      <c r="F1422" t="s">
        <v>15</v>
      </c>
      <c r="G1422">
        <v>165.19</v>
      </c>
      <c r="H1422">
        <v>4</v>
      </c>
      <c r="I1422">
        <v>64.14</v>
      </c>
      <c r="J1422">
        <v>1</v>
      </c>
      <c r="K1422">
        <v>-135.47999999999999</v>
      </c>
    </row>
    <row r="1423" spans="1:11" x14ac:dyDescent="0.3">
      <c r="A1423" s="1">
        <v>44997</v>
      </c>
      <c r="B1423" t="s">
        <v>11</v>
      </c>
      <c r="C1423" t="s">
        <v>12</v>
      </c>
      <c r="D1423" t="s">
        <v>19</v>
      </c>
      <c r="E1423" t="s">
        <v>20</v>
      </c>
      <c r="F1423" t="s">
        <v>26</v>
      </c>
      <c r="G1423">
        <v>137.13999999999999</v>
      </c>
      <c r="H1423">
        <v>9</v>
      </c>
      <c r="I1423">
        <v>170.99</v>
      </c>
      <c r="J1423">
        <v>2</v>
      </c>
      <c r="K1423">
        <v>12.45</v>
      </c>
    </row>
    <row r="1424" spans="1:11" x14ac:dyDescent="0.3">
      <c r="A1424" s="1">
        <v>45153</v>
      </c>
      <c r="B1424" t="s">
        <v>17</v>
      </c>
      <c r="C1424" t="s">
        <v>18</v>
      </c>
      <c r="D1424" t="s">
        <v>25</v>
      </c>
      <c r="E1424" t="s">
        <v>14</v>
      </c>
      <c r="F1424" t="s">
        <v>15</v>
      </c>
      <c r="G1424">
        <v>14.67</v>
      </c>
      <c r="H1424">
        <v>8</v>
      </c>
      <c r="I1424">
        <v>692.69</v>
      </c>
      <c r="J1424">
        <v>3</v>
      </c>
      <c r="K1424">
        <v>556.94000000000005</v>
      </c>
    </row>
    <row r="1425" spans="1:11" x14ac:dyDescent="0.3">
      <c r="A1425" s="1">
        <v>45094</v>
      </c>
      <c r="B1425" t="s">
        <v>17</v>
      </c>
      <c r="C1425" t="s">
        <v>24</v>
      </c>
      <c r="D1425" t="s">
        <v>19</v>
      </c>
      <c r="E1425" t="s">
        <v>20</v>
      </c>
      <c r="F1425" t="s">
        <v>15</v>
      </c>
      <c r="G1425">
        <v>88.14</v>
      </c>
      <c r="H1425">
        <v>15</v>
      </c>
      <c r="I1425">
        <v>463.19</v>
      </c>
      <c r="J1425">
        <v>0</v>
      </c>
      <c r="K1425">
        <v>375.05</v>
      </c>
    </row>
    <row r="1426" spans="1:11" x14ac:dyDescent="0.3">
      <c r="A1426" s="1">
        <v>45048</v>
      </c>
      <c r="B1426" t="s">
        <v>11</v>
      </c>
      <c r="C1426" t="s">
        <v>29</v>
      </c>
      <c r="D1426" t="s">
        <v>28</v>
      </c>
      <c r="E1426" t="s">
        <v>20</v>
      </c>
      <c r="F1426" t="s">
        <v>16</v>
      </c>
      <c r="G1426">
        <v>117.37</v>
      </c>
      <c r="H1426">
        <v>4</v>
      </c>
      <c r="I1426">
        <v>96.32</v>
      </c>
      <c r="J1426">
        <v>0</v>
      </c>
      <c r="K1426">
        <v>-21.05</v>
      </c>
    </row>
    <row r="1427" spans="1:11" x14ac:dyDescent="0.3">
      <c r="A1427" s="1">
        <v>45281</v>
      </c>
      <c r="B1427" t="s">
        <v>21</v>
      </c>
      <c r="C1427" t="s">
        <v>24</v>
      </c>
      <c r="D1427" t="s">
        <v>25</v>
      </c>
      <c r="E1427" t="s">
        <v>20</v>
      </c>
      <c r="F1427" t="s">
        <v>26</v>
      </c>
      <c r="G1427">
        <v>68.430000000000007</v>
      </c>
      <c r="H1427">
        <v>7</v>
      </c>
      <c r="I1427">
        <v>425.38</v>
      </c>
      <c r="J1427">
        <v>1</v>
      </c>
      <c r="K1427">
        <v>316.27999999999997</v>
      </c>
    </row>
    <row r="1428" spans="1:11" x14ac:dyDescent="0.3">
      <c r="A1428" s="1">
        <v>45126</v>
      </c>
      <c r="B1428" t="s">
        <v>17</v>
      </c>
      <c r="C1428" t="s">
        <v>12</v>
      </c>
      <c r="D1428" t="s">
        <v>13</v>
      </c>
      <c r="E1428" t="s">
        <v>20</v>
      </c>
      <c r="F1428" t="s">
        <v>22</v>
      </c>
      <c r="G1428">
        <v>157.54</v>
      </c>
      <c r="H1428">
        <v>4</v>
      </c>
      <c r="I1428">
        <v>100.97</v>
      </c>
      <c r="J1428">
        <v>1</v>
      </c>
      <c r="K1428">
        <v>-63.27</v>
      </c>
    </row>
    <row r="1429" spans="1:11" x14ac:dyDescent="0.3">
      <c r="A1429" s="1">
        <v>44954</v>
      </c>
      <c r="B1429" t="s">
        <v>21</v>
      </c>
      <c r="C1429" t="s">
        <v>12</v>
      </c>
      <c r="D1429" t="s">
        <v>25</v>
      </c>
      <c r="E1429" t="s">
        <v>14</v>
      </c>
      <c r="F1429" t="s">
        <v>22</v>
      </c>
      <c r="G1429">
        <v>153.84</v>
      </c>
      <c r="H1429">
        <v>2</v>
      </c>
      <c r="I1429">
        <v>135.91999999999999</v>
      </c>
      <c r="J1429">
        <v>2</v>
      </c>
      <c r="K1429">
        <v>-72.510000000000005</v>
      </c>
    </row>
    <row r="1430" spans="1:11" x14ac:dyDescent="0.3">
      <c r="A1430" s="1">
        <v>45015</v>
      </c>
      <c r="B1430" t="s">
        <v>11</v>
      </c>
      <c r="C1430" t="s">
        <v>24</v>
      </c>
      <c r="D1430" t="s">
        <v>27</v>
      </c>
      <c r="E1430" t="s">
        <v>14</v>
      </c>
      <c r="F1430" t="s">
        <v>15</v>
      </c>
      <c r="G1430">
        <v>44.03</v>
      </c>
      <c r="H1430">
        <v>15</v>
      </c>
      <c r="I1430">
        <v>1389.77</v>
      </c>
      <c r="J1430">
        <v>3</v>
      </c>
      <c r="K1430">
        <v>1213.3599999999999</v>
      </c>
    </row>
    <row r="1431" spans="1:11" x14ac:dyDescent="0.3">
      <c r="A1431" s="1">
        <v>45263</v>
      </c>
      <c r="B1431" t="s">
        <v>21</v>
      </c>
      <c r="C1431" t="s">
        <v>29</v>
      </c>
      <c r="D1431" t="s">
        <v>13</v>
      </c>
      <c r="E1431" t="s">
        <v>20</v>
      </c>
      <c r="F1431" t="s">
        <v>16</v>
      </c>
      <c r="G1431">
        <v>72.47</v>
      </c>
      <c r="H1431">
        <v>16</v>
      </c>
      <c r="I1431">
        <v>841.27</v>
      </c>
      <c r="J1431">
        <v>2</v>
      </c>
      <c r="K1431">
        <v>755.02</v>
      </c>
    </row>
    <row r="1432" spans="1:11" x14ac:dyDescent="0.3">
      <c r="A1432" s="1">
        <v>45289</v>
      </c>
      <c r="B1432" t="s">
        <v>21</v>
      </c>
      <c r="C1432" t="s">
        <v>18</v>
      </c>
      <c r="D1432" t="s">
        <v>27</v>
      </c>
      <c r="E1432" t="s">
        <v>20</v>
      </c>
      <c r="F1432" t="s">
        <v>15</v>
      </c>
      <c r="G1432">
        <v>44.37</v>
      </c>
      <c r="H1432">
        <v>4</v>
      </c>
      <c r="I1432">
        <v>277.85000000000002</v>
      </c>
      <c r="J1432">
        <v>3</v>
      </c>
      <c r="K1432">
        <v>110.2</v>
      </c>
    </row>
    <row r="1433" spans="1:11" x14ac:dyDescent="0.3">
      <c r="A1433" s="1">
        <v>45053</v>
      </c>
      <c r="B1433" t="s">
        <v>11</v>
      </c>
      <c r="C1433" t="s">
        <v>18</v>
      </c>
      <c r="D1433" t="s">
        <v>28</v>
      </c>
      <c r="E1433" t="s">
        <v>20</v>
      </c>
      <c r="F1433" t="s">
        <v>26</v>
      </c>
      <c r="G1433">
        <v>156.88999999999999</v>
      </c>
      <c r="H1433">
        <v>10</v>
      </c>
      <c r="I1433">
        <v>495.3</v>
      </c>
      <c r="J1433">
        <v>0</v>
      </c>
      <c r="K1433">
        <v>338.41</v>
      </c>
    </row>
    <row r="1434" spans="1:11" x14ac:dyDescent="0.3">
      <c r="A1434" s="1">
        <v>45260</v>
      </c>
      <c r="B1434" t="s">
        <v>23</v>
      </c>
      <c r="C1434" t="s">
        <v>18</v>
      </c>
      <c r="D1434" t="s">
        <v>28</v>
      </c>
      <c r="E1434" t="s">
        <v>14</v>
      </c>
      <c r="F1434" t="s">
        <v>16</v>
      </c>
      <c r="G1434">
        <v>92.22</v>
      </c>
      <c r="H1434">
        <v>6</v>
      </c>
      <c r="I1434">
        <v>546.23</v>
      </c>
      <c r="J1434">
        <v>2</v>
      </c>
      <c r="K1434">
        <v>397.83</v>
      </c>
    </row>
    <row r="1435" spans="1:11" x14ac:dyDescent="0.3">
      <c r="A1435" s="1">
        <v>44954</v>
      </c>
      <c r="B1435" t="s">
        <v>21</v>
      </c>
      <c r="C1435" t="s">
        <v>24</v>
      </c>
      <c r="D1435" t="s">
        <v>27</v>
      </c>
      <c r="E1435" t="s">
        <v>20</v>
      </c>
      <c r="F1435" t="s">
        <v>22</v>
      </c>
      <c r="G1435">
        <v>154.65</v>
      </c>
      <c r="H1435">
        <v>13</v>
      </c>
      <c r="I1435">
        <v>1121.24</v>
      </c>
      <c r="J1435">
        <v>1</v>
      </c>
      <c r="K1435">
        <v>951.04</v>
      </c>
    </row>
    <row r="1436" spans="1:11" x14ac:dyDescent="0.3">
      <c r="A1436" s="1">
        <v>44927</v>
      </c>
      <c r="B1436" t="s">
        <v>21</v>
      </c>
      <c r="C1436" t="s">
        <v>29</v>
      </c>
      <c r="D1436" t="s">
        <v>25</v>
      </c>
      <c r="E1436" t="s">
        <v>20</v>
      </c>
      <c r="F1436" t="s">
        <v>26</v>
      </c>
      <c r="G1436">
        <v>69.180000000000007</v>
      </c>
      <c r="H1436">
        <v>12</v>
      </c>
      <c r="I1436">
        <v>839.42</v>
      </c>
      <c r="J1436">
        <v>0</v>
      </c>
      <c r="K1436">
        <v>770.24</v>
      </c>
    </row>
    <row r="1437" spans="1:11" x14ac:dyDescent="0.3">
      <c r="A1437" s="1">
        <v>45232</v>
      </c>
      <c r="B1437" t="s">
        <v>23</v>
      </c>
      <c r="C1437" t="s">
        <v>12</v>
      </c>
      <c r="D1437" t="s">
        <v>13</v>
      </c>
      <c r="E1437" t="s">
        <v>20</v>
      </c>
      <c r="F1437" t="s">
        <v>16</v>
      </c>
      <c r="G1437">
        <v>192.7</v>
      </c>
      <c r="H1437">
        <v>20</v>
      </c>
      <c r="I1437">
        <v>1041.1400000000001</v>
      </c>
      <c r="J1437">
        <v>2</v>
      </c>
      <c r="K1437">
        <v>754.33</v>
      </c>
    </row>
    <row r="1438" spans="1:11" x14ac:dyDescent="0.3">
      <c r="A1438" s="1">
        <v>45136</v>
      </c>
      <c r="B1438" t="s">
        <v>17</v>
      </c>
      <c r="C1438" t="s">
        <v>24</v>
      </c>
      <c r="D1438" t="s">
        <v>19</v>
      </c>
      <c r="E1438" t="s">
        <v>20</v>
      </c>
      <c r="F1438" t="s">
        <v>15</v>
      </c>
      <c r="G1438">
        <v>28.7</v>
      </c>
      <c r="H1438">
        <v>2</v>
      </c>
      <c r="I1438">
        <v>94.38</v>
      </c>
      <c r="J1438">
        <v>1</v>
      </c>
      <c r="K1438">
        <v>41.28</v>
      </c>
    </row>
    <row r="1439" spans="1:11" x14ac:dyDescent="0.3">
      <c r="A1439" s="1">
        <v>45051</v>
      </c>
      <c r="B1439" t="s">
        <v>11</v>
      </c>
      <c r="C1439" t="s">
        <v>18</v>
      </c>
      <c r="D1439" t="s">
        <v>27</v>
      </c>
      <c r="E1439" t="s">
        <v>20</v>
      </c>
      <c r="F1439" t="s">
        <v>16</v>
      </c>
      <c r="G1439">
        <v>60.87</v>
      </c>
      <c r="H1439">
        <v>2</v>
      </c>
      <c r="I1439">
        <v>43.23</v>
      </c>
      <c r="J1439">
        <v>1</v>
      </c>
      <c r="K1439">
        <v>-36.33</v>
      </c>
    </row>
    <row r="1440" spans="1:11" x14ac:dyDescent="0.3">
      <c r="A1440" s="1">
        <v>45097</v>
      </c>
      <c r="B1440" t="s">
        <v>17</v>
      </c>
      <c r="C1440" t="s">
        <v>12</v>
      </c>
      <c r="D1440" t="s">
        <v>27</v>
      </c>
      <c r="E1440" t="s">
        <v>14</v>
      </c>
      <c r="F1440" t="s">
        <v>22</v>
      </c>
      <c r="G1440">
        <v>24.12</v>
      </c>
      <c r="H1440">
        <v>2</v>
      </c>
      <c r="I1440">
        <v>130.52000000000001</v>
      </c>
      <c r="J1440">
        <v>2</v>
      </c>
      <c r="K1440">
        <v>79.72</v>
      </c>
    </row>
    <row r="1441" spans="1:11" x14ac:dyDescent="0.3">
      <c r="A1441" s="1">
        <v>44979</v>
      </c>
      <c r="B1441" t="s">
        <v>21</v>
      </c>
      <c r="C1441" t="s">
        <v>12</v>
      </c>
      <c r="D1441" t="s">
        <v>28</v>
      </c>
      <c r="E1441" t="s">
        <v>14</v>
      </c>
      <c r="F1441" t="s">
        <v>26</v>
      </c>
      <c r="G1441">
        <v>71.28</v>
      </c>
      <c r="H1441">
        <v>19</v>
      </c>
      <c r="I1441">
        <v>1667.01</v>
      </c>
      <c r="J1441">
        <v>2</v>
      </c>
      <c r="K1441">
        <v>1498.82</v>
      </c>
    </row>
    <row r="1442" spans="1:11" x14ac:dyDescent="0.3">
      <c r="A1442" s="1">
        <v>44978</v>
      </c>
      <c r="B1442" t="s">
        <v>21</v>
      </c>
      <c r="C1442" t="s">
        <v>12</v>
      </c>
      <c r="D1442" t="s">
        <v>25</v>
      </c>
      <c r="E1442" t="s">
        <v>20</v>
      </c>
      <c r="F1442" t="s">
        <v>22</v>
      </c>
      <c r="G1442">
        <v>22.84</v>
      </c>
      <c r="H1442">
        <v>4</v>
      </c>
      <c r="I1442">
        <v>220.15</v>
      </c>
      <c r="J1442">
        <v>0</v>
      </c>
      <c r="K1442">
        <v>197.31</v>
      </c>
    </row>
    <row r="1443" spans="1:11" x14ac:dyDescent="0.3">
      <c r="A1443" s="1">
        <v>45115</v>
      </c>
      <c r="B1443" t="s">
        <v>17</v>
      </c>
      <c r="C1443" t="s">
        <v>29</v>
      </c>
      <c r="D1443" t="s">
        <v>25</v>
      </c>
      <c r="E1443" t="s">
        <v>20</v>
      </c>
      <c r="F1443" t="s">
        <v>26</v>
      </c>
      <c r="G1443">
        <v>193.32</v>
      </c>
      <c r="H1443">
        <v>18</v>
      </c>
      <c r="I1443">
        <v>229.85</v>
      </c>
      <c r="J1443">
        <v>1</v>
      </c>
      <c r="K1443">
        <v>-12.85</v>
      </c>
    </row>
    <row r="1444" spans="1:11" x14ac:dyDescent="0.3">
      <c r="A1444" s="1">
        <v>45079</v>
      </c>
      <c r="B1444" t="s">
        <v>17</v>
      </c>
      <c r="C1444" t="s">
        <v>18</v>
      </c>
      <c r="D1444" t="s">
        <v>25</v>
      </c>
      <c r="E1444" t="s">
        <v>20</v>
      </c>
      <c r="F1444" t="s">
        <v>16</v>
      </c>
      <c r="G1444">
        <v>140.77000000000001</v>
      </c>
      <c r="H1444">
        <v>2</v>
      </c>
      <c r="I1444">
        <v>187.15</v>
      </c>
      <c r="J1444">
        <v>1</v>
      </c>
      <c r="K1444">
        <v>25.17</v>
      </c>
    </row>
    <row r="1445" spans="1:11" x14ac:dyDescent="0.3">
      <c r="A1445" s="1">
        <v>45154</v>
      </c>
      <c r="B1445" t="s">
        <v>17</v>
      </c>
      <c r="C1445" t="s">
        <v>12</v>
      </c>
      <c r="D1445" t="s">
        <v>25</v>
      </c>
      <c r="E1445" t="s">
        <v>14</v>
      </c>
      <c r="F1445" t="s">
        <v>26</v>
      </c>
      <c r="G1445">
        <v>81.44</v>
      </c>
      <c r="H1445">
        <v>3</v>
      </c>
      <c r="I1445">
        <v>284.88</v>
      </c>
      <c r="J1445">
        <v>2</v>
      </c>
      <c r="K1445">
        <v>108.69</v>
      </c>
    </row>
    <row r="1446" spans="1:11" x14ac:dyDescent="0.3">
      <c r="A1446" s="1">
        <v>45046</v>
      </c>
      <c r="B1446" t="s">
        <v>11</v>
      </c>
      <c r="C1446" t="s">
        <v>29</v>
      </c>
      <c r="D1446" t="s">
        <v>27</v>
      </c>
      <c r="E1446" t="s">
        <v>20</v>
      </c>
      <c r="F1446" t="s">
        <v>16</v>
      </c>
      <c r="G1446">
        <v>139.78</v>
      </c>
      <c r="H1446">
        <v>19</v>
      </c>
      <c r="I1446">
        <v>602.13</v>
      </c>
      <c r="J1446">
        <v>1</v>
      </c>
      <c r="K1446">
        <v>453.47</v>
      </c>
    </row>
    <row r="1447" spans="1:11" x14ac:dyDescent="0.3">
      <c r="A1447" s="1">
        <v>44997</v>
      </c>
      <c r="B1447" t="s">
        <v>11</v>
      </c>
      <c r="C1447" t="s">
        <v>18</v>
      </c>
      <c r="D1447" t="s">
        <v>28</v>
      </c>
      <c r="E1447" t="s">
        <v>14</v>
      </c>
      <c r="F1447" t="s">
        <v>26</v>
      </c>
      <c r="G1447">
        <v>103.4</v>
      </c>
      <c r="H1447">
        <v>7</v>
      </c>
      <c r="I1447">
        <v>181.41</v>
      </c>
      <c r="J1447">
        <v>3</v>
      </c>
      <c r="K1447">
        <v>11.43</v>
      </c>
    </row>
    <row r="1448" spans="1:11" x14ac:dyDescent="0.3">
      <c r="A1448" s="1">
        <v>45286</v>
      </c>
      <c r="B1448" t="s">
        <v>21</v>
      </c>
      <c r="C1448" t="s">
        <v>12</v>
      </c>
      <c r="D1448" t="s">
        <v>13</v>
      </c>
      <c r="E1448" t="s">
        <v>20</v>
      </c>
      <c r="F1448" t="s">
        <v>16</v>
      </c>
      <c r="G1448">
        <v>141.22</v>
      </c>
      <c r="H1448">
        <v>1</v>
      </c>
      <c r="I1448">
        <v>83.69</v>
      </c>
      <c r="J1448">
        <v>1</v>
      </c>
      <c r="K1448">
        <v>-78.94</v>
      </c>
    </row>
    <row r="1449" spans="1:11" x14ac:dyDescent="0.3">
      <c r="A1449" s="1">
        <v>45206</v>
      </c>
      <c r="B1449" t="s">
        <v>23</v>
      </c>
      <c r="C1449" t="s">
        <v>12</v>
      </c>
      <c r="D1449" t="s">
        <v>19</v>
      </c>
      <c r="E1449" t="s">
        <v>14</v>
      </c>
      <c r="F1449" t="s">
        <v>15</v>
      </c>
      <c r="G1449">
        <v>154.08000000000001</v>
      </c>
      <c r="H1449">
        <v>19</v>
      </c>
      <c r="I1449">
        <v>630.01</v>
      </c>
      <c r="J1449">
        <v>0</v>
      </c>
      <c r="K1449">
        <v>475.93</v>
      </c>
    </row>
    <row r="1450" spans="1:11" x14ac:dyDescent="0.3">
      <c r="A1450" s="1">
        <v>45097</v>
      </c>
      <c r="B1450" t="s">
        <v>17</v>
      </c>
      <c r="C1450" t="s">
        <v>12</v>
      </c>
      <c r="D1450" t="s">
        <v>27</v>
      </c>
      <c r="E1450" t="s">
        <v>20</v>
      </c>
      <c r="F1450" t="s">
        <v>16</v>
      </c>
      <c r="G1450">
        <v>91.63</v>
      </c>
      <c r="H1450">
        <v>13</v>
      </c>
      <c r="I1450">
        <v>423.94</v>
      </c>
      <c r="J1450">
        <v>3</v>
      </c>
      <c r="K1450">
        <v>301.70999999999998</v>
      </c>
    </row>
    <row r="1451" spans="1:11" x14ac:dyDescent="0.3">
      <c r="A1451" s="1">
        <v>45243</v>
      </c>
      <c r="B1451" t="s">
        <v>23</v>
      </c>
      <c r="C1451" t="s">
        <v>12</v>
      </c>
      <c r="D1451" t="s">
        <v>13</v>
      </c>
      <c r="E1451" t="s">
        <v>20</v>
      </c>
      <c r="F1451" t="s">
        <v>22</v>
      </c>
      <c r="G1451">
        <v>108.93</v>
      </c>
      <c r="H1451">
        <v>6</v>
      </c>
      <c r="I1451">
        <v>477.96</v>
      </c>
      <c r="J1451">
        <v>2</v>
      </c>
      <c r="K1451">
        <v>294.52</v>
      </c>
    </row>
    <row r="1452" spans="1:11" x14ac:dyDescent="0.3">
      <c r="A1452" s="1">
        <v>45223</v>
      </c>
      <c r="B1452" t="s">
        <v>23</v>
      </c>
      <c r="C1452" t="s">
        <v>12</v>
      </c>
      <c r="D1452" t="s">
        <v>13</v>
      </c>
      <c r="E1452" t="s">
        <v>14</v>
      </c>
      <c r="F1452" t="s">
        <v>26</v>
      </c>
      <c r="G1452">
        <v>54.68</v>
      </c>
      <c r="H1452">
        <v>4</v>
      </c>
      <c r="I1452">
        <v>219.54</v>
      </c>
      <c r="J1452">
        <v>3</v>
      </c>
      <c r="K1452">
        <v>46.08</v>
      </c>
    </row>
    <row r="1453" spans="1:11" x14ac:dyDescent="0.3">
      <c r="A1453" s="1">
        <v>45030</v>
      </c>
      <c r="B1453" t="s">
        <v>11</v>
      </c>
      <c r="C1453" t="s">
        <v>18</v>
      </c>
      <c r="D1453" t="s">
        <v>28</v>
      </c>
      <c r="E1453" t="s">
        <v>14</v>
      </c>
      <c r="F1453" t="s">
        <v>26</v>
      </c>
      <c r="G1453">
        <v>29.82</v>
      </c>
      <c r="H1453">
        <v>17</v>
      </c>
      <c r="I1453">
        <v>288.79000000000002</v>
      </c>
      <c r="J1453">
        <v>2</v>
      </c>
      <c r="K1453">
        <v>198.86</v>
      </c>
    </row>
    <row r="1454" spans="1:11" x14ac:dyDescent="0.3">
      <c r="A1454" s="1">
        <v>44988</v>
      </c>
      <c r="B1454" t="s">
        <v>11</v>
      </c>
      <c r="C1454" t="s">
        <v>29</v>
      </c>
      <c r="D1454" t="s">
        <v>13</v>
      </c>
      <c r="E1454" t="s">
        <v>14</v>
      </c>
      <c r="F1454" t="s">
        <v>26</v>
      </c>
      <c r="G1454">
        <v>79.67</v>
      </c>
      <c r="H1454">
        <v>9</v>
      </c>
      <c r="I1454">
        <v>302.72000000000003</v>
      </c>
      <c r="J1454">
        <v>3</v>
      </c>
      <c r="K1454">
        <v>190.13</v>
      </c>
    </row>
    <row r="1455" spans="1:11" x14ac:dyDescent="0.3">
      <c r="A1455" s="1">
        <v>45170</v>
      </c>
      <c r="B1455" t="s">
        <v>23</v>
      </c>
      <c r="C1455" t="s">
        <v>18</v>
      </c>
      <c r="D1455" t="s">
        <v>28</v>
      </c>
      <c r="E1455" t="s">
        <v>14</v>
      </c>
      <c r="F1455" t="s">
        <v>26</v>
      </c>
      <c r="G1455">
        <v>186.97</v>
      </c>
      <c r="H1455">
        <v>11</v>
      </c>
      <c r="I1455">
        <v>804.99</v>
      </c>
      <c r="J1455">
        <v>1</v>
      </c>
      <c r="K1455">
        <v>569.05999999999995</v>
      </c>
    </row>
    <row r="1456" spans="1:11" x14ac:dyDescent="0.3">
      <c r="A1456" s="1">
        <v>45154</v>
      </c>
      <c r="B1456" t="s">
        <v>17</v>
      </c>
      <c r="C1456" t="s">
        <v>18</v>
      </c>
      <c r="D1456" t="s">
        <v>28</v>
      </c>
      <c r="E1456" t="s">
        <v>14</v>
      </c>
      <c r="F1456" t="s">
        <v>16</v>
      </c>
      <c r="G1456">
        <v>164.55</v>
      </c>
      <c r="H1456">
        <v>19</v>
      </c>
      <c r="I1456">
        <v>1704.11</v>
      </c>
      <c r="J1456">
        <v>1</v>
      </c>
      <c r="K1456">
        <v>1502.77</v>
      </c>
    </row>
    <row r="1457" spans="1:11" x14ac:dyDescent="0.3">
      <c r="A1457" s="1">
        <v>45269</v>
      </c>
      <c r="B1457" t="s">
        <v>21</v>
      </c>
      <c r="C1457" t="s">
        <v>18</v>
      </c>
      <c r="D1457" t="s">
        <v>19</v>
      </c>
      <c r="E1457" t="s">
        <v>14</v>
      </c>
      <c r="F1457" t="s">
        <v>22</v>
      </c>
      <c r="G1457">
        <v>60.49</v>
      </c>
      <c r="H1457">
        <v>12</v>
      </c>
      <c r="I1457">
        <v>473.27</v>
      </c>
      <c r="J1457">
        <v>3</v>
      </c>
      <c r="K1457">
        <v>274.83999999999997</v>
      </c>
    </row>
    <row r="1458" spans="1:11" x14ac:dyDescent="0.3">
      <c r="A1458" s="1">
        <v>45116</v>
      </c>
      <c r="B1458" t="s">
        <v>17</v>
      </c>
      <c r="C1458" t="s">
        <v>12</v>
      </c>
      <c r="D1458" t="s">
        <v>19</v>
      </c>
      <c r="E1458" t="s">
        <v>14</v>
      </c>
      <c r="F1458" t="s">
        <v>26</v>
      </c>
      <c r="G1458">
        <v>74.209999999999994</v>
      </c>
      <c r="H1458">
        <v>15</v>
      </c>
      <c r="I1458">
        <v>328.53</v>
      </c>
      <c r="J1458">
        <v>2</v>
      </c>
      <c r="K1458">
        <v>205.92</v>
      </c>
    </row>
    <row r="1459" spans="1:11" x14ac:dyDescent="0.3">
      <c r="A1459" s="1">
        <v>45009</v>
      </c>
      <c r="B1459" t="s">
        <v>11</v>
      </c>
      <c r="C1459" t="s">
        <v>18</v>
      </c>
      <c r="D1459" t="s">
        <v>28</v>
      </c>
      <c r="E1459" t="s">
        <v>20</v>
      </c>
      <c r="F1459" t="s">
        <v>22</v>
      </c>
      <c r="G1459">
        <v>6.91</v>
      </c>
      <c r="H1459">
        <v>20</v>
      </c>
      <c r="I1459">
        <v>1245.56</v>
      </c>
      <c r="J1459">
        <v>2</v>
      </c>
      <c r="K1459">
        <v>1144.03</v>
      </c>
    </row>
    <row r="1460" spans="1:11" x14ac:dyDescent="0.3">
      <c r="A1460" s="1">
        <v>44951</v>
      </c>
      <c r="B1460" t="s">
        <v>21</v>
      </c>
      <c r="C1460" t="s">
        <v>24</v>
      </c>
      <c r="D1460" t="s">
        <v>25</v>
      </c>
      <c r="E1460" t="s">
        <v>20</v>
      </c>
      <c r="F1460" t="s">
        <v>22</v>
      </c>
      <c r="G1460">
        <v>34.56</v>
      </c>
      <c r="H1460">
        <v>5</v>
      </c>
      <c r="I1460">
        <v>85.39</v>
      </c>
      <c r="J1460">
        <v>1</v>
      </c>
      <c r="K1460">
        <v>16.48</v>
      </c>
    </row>
    <row r="1461" spans="1:11" x14ac:dyDescent="0.3">
      <c r="A1461" s="1">
        <v>44944</v>
      </c>
      <c r="B1461" t="s">
        <v>21</v>
      </c>
      <c r="C1461" t="s">
        <v>29</v>
      </c>
      <c r="D1461" t="s">
        <v>13</v>
      </c>
      <c r="E1461" t="s">
        <v>20</v>
      </c>
      <c r="F1461" t="s">
        <v>16</v>
      </c>
      <c r="G1461">
        <v>63.19</v>
      </c>
      <c r="H1461">
        <v>6</v>
      </c>
      <c r="I1461">
        <v>495.46</v>
      </c>
      <c r="J1461">
        <v>2</v>
      </c>
      <c r="K1461">
        <v>376.14</v>
      </c>
    </row>
    <row r="1462" spans="1:11" x14ac:dyDescent="0.3">
      <c r="A1462" s="1">
        <v>45142</v>
      </c>
      <c r="B1462" t="s">
        <v>17</v>
      </c>
      <c r="C1462" t="s">
        <v>18</v>
      </c>
      <c r="D1462" t="s">
        <v>28</v>
      </c>
      <c r="E1462" t="s">
        <v>20</v>
      </c>
      <c r="F1462" t="s">
        <v>15</v>
      </c>
      <c r="G1462">
        <v>60.3</v>
      </c>
      <c r="H1462">
        <v>13</v>
      </c>
      <c r="I1462">
        <v>800.2</v>
      </c>
      <c r="J1462">
        <v>2</v>
      </c>
      <c r="K1462">
        <v>640.16</v>
      </c>
    </row>
    <row r="1463" spans="1:11" x14ac:dyDescent="0.3">
      <c r="A1463" s="1">
        <v>45261</v>
      </c>
      <c r="B1463" t="s">
        <v>21</v>
      </c>
      <c r="C1463" t="s">
        <v>12</v>
      </c>
      <c r="D1463" t="s">
        <v>25</v>
      </c>
      <c r="E1463" t="s">
        <v>14</v>
      </c>
      <c r="F1463" t="s">
        <v>26</v>
      </c>
      <c r="G1463">
        <v>116.08</v>
      </c>
      <c r="H1463">
        <v>1</v>
      </c>
      <c r="I1463">
        <v>25.98</v>
      </c>
      <c r="J1463">
        <v>1</v>
      </c>
      <c r="K1463">
        <v>-99.77</v>
      </c>
    </row>
    <row r="1464" spans="1:11" x14ac:dyDescent="0.3">
      <c r="A1464" s="1">
        <v>45130</v>
      </c>
      <c r="B1464" t="s">
        <v>17</v>
      </c>
      <c r="C1464" t="s">
        <v>18</v>
      </c>
      <c r="D1464" t="s">
        <v>13</v>
      </c>
      <c r="E1464" t="s">
        <v>20</v>
      </c>
      <c r="F1464" t="s">
        <v>15</v>
      </c>
      <c r="G1464">
        <v>13.49</v>
      </c>
      <c r="H1464">
        <v>20</v>
      </c>
      <c r="I1464">
        <v>1380.46</v>
      </c>
      <c r="J1464">
        <v>0</v>
      </c>
      <c r="K1464">
        <v>1366.97</v>
      </c>
    </row>
    <row r="1465" spans="1:11" x14ac:dyDescent="0.3">
      <c r="A1465" s="1">
        <v>44934</v>
      </c>
      <c r="B1465" t="s">
        <v>21</v>
      </c>
      <c r="C1465" t="s">
        <v>12</v>
      </c>
      <c r="D1465" t="s">
        <v>19</v>
      </c>
      <c r="E1465" t="s">
        <v>20</v>
      </c>
      <c r="F1465" t="s">
        <v>22</v>
      </c>
      <c r="G1465">
        <v>178.42</v>
      </c>
      <c r="H1465">
        <v>1</v>
      </c>
      <c r="I1465">
        <v>19.100000000000001</v>
      </c>
      <c r="J1465">
        <v>1</v>
      </c>
      <c r="K1465">
        <v>-195.69</v>
      </c>
    </row>
    <row r="1466" spans="1:11" x14ac:dyDescent="0.3">
      <c r="A1466" s="1">
        <v>45280</v>
      </c>
      <c r="B1466" t="s">
        <v>21</v>
      </c>
      <c r="C1466" t="s">
        <v>24</v>
      </c>
      <c r="D1466" t="s">
        <v>25</v>
      </c>
      <c r="E1466" t="s">
        <v>14</v>
      </c>
      <c r="F1466" t="s">
        <v>16</v>
      </c>
      <c r="G1466">
        <v>125.02</v>
      </c>
      <c r="H1466">
        <v>4</v>
      </c>
      <c r="I1466">
        <v>219.53</v>
      </c>
      <c r="J1466">
        <v>1</v>
      </c>
      <c r="K1466">
        <v>53.77</v>
      </c>
    </row>
    <row r="1467" spans="1:11" x14ac:dyDescent="0.3">
      <c r="A1467" s="1">
        <v>45011</v>
      </c>
      <c r="B1467" t="s">
        <v>11</v>
      </c>
      <c r="C1467" t="s">
        <v>18</v>
      </c>
      <c r="D1467" t="s">
        <v>19</v>
      </c>
      <c r="E1467" t="s">
        <v>14</v>
      </c>
      <c r="F1467" t="s">
        <v>22</v>
      </c>
      <c r="G1467">
        <v>113.45</v>
      </c>
      <c r="H1467">
        <v>18</v>
      </c>
      <c r="I1467">
        <v>1116.18</v>
      </c>
      <c r="J1467">
        <v>2</v>
      </c>
      <c r="K1467">
        <v>919.27</v>
      </c>
    </row>
    <row r="1468" spans="1:11" x14ac:dyDescent="0.3">
      <c r="A1468" s="1">
        <v>45214</v>
      </c>
      <c r="B1468" t="s">
        <v>23</v>
      </c>
      <c r="C1468" t="s">
        <v>29</v>
      </c>
      <c r="D1468" t="s">
        <v>27</v>
      </c>
      <c r="E1468" t="s">
        <v>14</v>
      </c>
      <c r="F1468" t="s">
        <v>26</v>
      </c>
      <c r="G1468">
        <v>102.75</v>
      </c>
      <c r="H1468">
        <v>17</v>
      </c>
      <c r="I1468">
        <v>661.47</v>
      </c>
      <c r="J1468">
        <v>3</v>
      </c>
      <c r="K1468">
        <v>415.98</v>
      </c>
    </row>
    <row r="1469" spans="1:11" x14ac:dyDescent="0.3">
      <c r="A1469" s="1">
        <v>45187</v>
      </c>
      <c r="B1469" t="s">
        <v>23</v>
      </c>
      <c r="C1469" t="s">
        <v>24</v>
      </c>
      <c r="D1469" t="s">
        <v>19</v>
      </c>
      <c r="E1469" t="s">
        <v>20</v>
      </c>
      <c r="F1469" t="s">
        <v>16</v>
      </c>
      <c r="G1469">
        <v>176.81</v>
      </c>
      <c r="H1469">
        <v>20</v>
      </c>
      <c r="I1469">
        <v>1371.01</v>
      </c>
      <c r="J1469">
        <v>0</v>
      </c>
      <c r="K1469">
        <v>1194.2</v>
      </c>
    </row>
    <row r="1470" spans="1:11" x14ac:dyDescent="0.3">
      <c r="A1470" s="1">
        <v>45142</v>
      </c>
      <c r="B1470" t="s">
        <v>17</v>
      </c>
      <c r="C1470" t="s">
        <v>18</v>
      </c>
      <c r="D1470" t="s">
        <v>13</v>
      </c>
      <c r="E1470" t="s">
        <v>20</v>
      </c>
      <c r="F1470" t="s">
        <v>16</v>
      </c>
      <c r="G1470">
        <v>44.95</v>
      </c>
      <c r="H1470">
        <v>17</v>
      </c>
      <c r="I1470">
        <v>1630.17</v>
      </c>
      <c r="J1470">
        <v>3</v>
      </c>
      <c r="K1470">
        <v>1486.88</v>
      </c>
    </row>
    <row r="1471" spans="1:11" x14ac:dyDescent="0.3">
      <c r="A1471" s="1">
        <v>44946</v>
      </c>
      <c r="B1471" t="s">
        <v>21</v>
      </c>
      <c r="C1471" t="s">
        <v>29</v>
      </c>
      <c r="D1471" t="s">
        <v>13</v>
      </c>
      <c r="E1471" t="s">
        <v>20</v>
      </c>
      <c r="F1471" t="s">
        <v>15</v>
      </c>
      <c r="G1471">
        <v>21.42</v>
      </c>
      <c r="H1471">
        <v>15</v>
      </c>
      <c r="I1471">
        <v>987.13</v>
      </c>
      <c r="J1471">
        <v>2</v>
      </c>
      <c r="K1471">
        <v>940.59</v>
      </c>
    </row>
    <row r="1472" spans="1:11" x14ac:dyDescent="0.3">
      <c r="A1472" s="1">
        <v>45231</v>
      </c>
      <c r="B1472" t="s">
        <v>23</v>
      </c>
      <c r="C1472" t="s">
        <v>12</v>
      </c>
      <c r="D1472" t="s">
        <v>27</v>
      </c>
      <c r="E1472" t="s">
        <v>20</v>
      </c>
      <c r="F1472" t="s">
        <v>16</v>
      </c>
      <c r="G1472">
        <v>115.9</v>
      </c>
      <c r="H1472">
        <v>13</v>
      </c>
      <c r="I1472">
        <v>1141.43</v>
      </c>
      <c r="J1472">
        <v>1</v>
      </c>
      <c r="K1472">
        <v>997.58</v>
      </c>
    </row>
    <row r="1473" spans="1:11" x14ac:dyDescent="0.3">
      <c r="A1473" s="1">
        <v>45171</v>
      </c>
      <c r="B1473" t="s">
        <v>23</v>
      </c>
      <c r="C1473" t="s">
        <v>24</v>
      </c>
      <c r="D1473" t="s">
        <v>25</v>
      </c>
      <c r="E1473" t="s">
        <v>14</v>
      </c>
      <c r="F1473" t="s">
        <v>16</v>
      </c>
      <c r="G1473">
        <v>141.91</v>
      </c>
      <c r="H1473">
        <v>18</v>
      </c>
      <c r="I1473">
        <v>1364.6</v>
      </c>
      <c r="J1473">
        <v>2</v>
      </c>
      <c r="K1473">
        <v>1155.3800000000001</v>
      </c>
    </row>
    <row r="1474" spans="1:11" x14ac:dyDescent="0.3">
      <c r="A1474" s="1">
        <v>45166</v>
      </c>
      <c r="B1474" t="s">
        <v>17</v>
      </c>
      <c r="C1474" t="s">
        <v>12</v>
      </c>
      <c r="D1474" t="s">
        <v>27</v>
      </c>
      <c r="E1474" t="s">
        <v>20</v>
      </c>
      <c r="F1474" t="s">
        <v>16</v>
      </c>
      <c r="G1474">
        <v>34.43</v>
      </c>
      <c r="H1474">
        <v>7</v>
      </c>
      <c r="I1474">
        <v>459</v>
      </c>
      <c r="J1474">
        <v>2</v>
      </c>
      <c r="K1474">
        <v>383.23</v>
      </c>
    </row>
    <row r="1475" spans="1:11" x14ac:dyDescent="0.3">
      <c r="A1475" s="1">
        <v>44959</v>
      </c>
      <c r="B1475" t="s">
        <v>21</v>
      </c>
      <c r="C1475" t="s">
        <v>29</v>
      </c>
      <c r="D1475" t="s">
        <v>25</v>
      </c>
      <c r="E1475" t="s">
        <v>20</v>
      </c>
      <c r="F1475" t="s">
        <v>26</v>
      </c>
      <c r="G1475">
        <v>170.45</v>
      </c>
      <c r="H1475">
        <v>14</v>
      </c>
      <c r="I1475">
        <v>476.33</v>
      </c>
      <c r="J1475">
        <v>1</v>
      </c>
      <c r="K1475">
        <v>271.33999999999997</v>
      </c>
    </row>
    <row r="1476" spans="1:11" x14ac:dyDescent="0.3">
      <c r="A1476" s="1">
        <v>45234</v>
      </c>
      <c r="B1476" t="s">
        <v>23</v>
      </c>
      <c r="C1476" t="s">
        <v>12</v>
      </c>
      <c r="D1476" t="s">
        <v>28</v>
      </c>
      <c r="E1476" t="s">
        <v>14</v>
      </c>
      <c r="F1476" t="s">
        <v>15</v>
      </c>
      <c r="G1476">
        <v>7.78</v>
      </c>
      <c r="H1476">
        <v>1</v>
      </c>
      <c r="I1476">
        <v>64.349999999999994</v>
      </c>
      <c r="J1476">
        <v>0</v>
      </c>
      <c r="K1476">
        <v>56.57</v>
      </c>
    </row>
    <row r="1477" spans="1:11" x14ac:dyDescent="0.3">
      <c r="A1477" s="1">
        <v>44974</v>
      </c>
      <c r="B1477" t="s">
        <v>21</v>
      </c>
      <c r="C1477" t="s">
        <v>24</v>
      </c>
      <c r="D1477" t="s">
        <v>27</v>
      </c>
      <c r="E1477" t="s">
        <v>14</v>
      </c>
      <c r="F1477" t="s">
        <v>22</v>
      </c>
      <c r="G1477">
        <v>8.33</v>
      </c>
      <c r="H1477">
        <v>5</v>
      </c>
      <c r="I1477">
        <v>59.77</v>
      </c>
      <c r="J1477">
        <v>3</v>
      </c>
      <c r="K1477">
        <v>2.96</v>
      </c>
    </row>
    <row r="1478" spans="1:11" x14ac:dyDescent="0.3">
      <c r="A1478" s="1">
        <v>45079</v>
      </c>
      <c r="B1478" t="s">
        <v>17</v>
      </c>
      <c r="C1478" t="s">
        <v>24</v>
      </c>
      <c r="D1478" t="s">
        <v>13</v>
      </c>
      <c r="E1478" t="s">
        <v>14</v>
      </c>
      <c r="F1478" t="s">
        <v>22</v>
      </c>
      <c r="G1478">
        <v>101.15</v>
      </c>
      <c r="H1478">
        <v>3</v>
      </c>
      <c r="I1478">
        <v>107.24</v>
      </c>
      <c r="J1478">
        <v>1</v>
      </c>
      <c r="K1478">
        <v>0.37</v>
      </c>
    </row>
    <row r="1479" spans="1:11" x14ac:dyDescent="0.3">
      <c r="A1479" s="1">
        <v>45247</v>
      </c>
      <c r="B1479" t="s">
        <v>23</v>
      </c>
      <c r="C1479" t="s">
        <v>18</v>
      </c>
      <c r="D1479" t="s">
        <v>19</v>
      </c>
      <c r="E1479" t="s">
        <v>20</v>
      </c>
      <c r="F1479" t="s">
        <v>16</v>
      </c>
      <c r="G1479">
        <v>56.19</v>
      </c>
      <c r="H1479">
        <v>10</v>
      </c>
      <c r="I1479">
        <v>324.66000000000003</v>
      </c>
      <c r="J1479">
        <v>2</v>
      </c>
      <c r="K1479">
        <v>221.86</v>
      </c>
    </row>
    <row r="1480" spans="1:11" x14ac:dyDescent="0.3">
      <c r="A1480" s="1">
        <v>45073</v>
      </c>
      <c r="B1480" t="s">
        <v>11</v>
      </c>
      <c r="C1480" t="s">
        <v>12</v>
      </c>
      <c r="D1480" t="s">
        <v>27</v>
      </c>
      <c r="E1480" t="s">
        <v>20</v>
      </c>
      <c r="F1480" t="s">
        <v>15</v>
      </c>
      <c r="G1480">
        <v>26.83</v>
      </c>
      <c r="H1480">
        <v>19</v>
      </c>
      <c r="I1480">
        <v>742.69</v>
      </c>
      <c r="J1480">
        <v>2</v>
      </c>
      <c r="K1480">
        <v>639.58000000000004</v>
      </c>
    </row>
    <row r="1481" spans="1:11" x14ac:dyDescent="0.3">
      <c r="A1481" s="1">
        <v>45172</v>
      </c>
      <c r="B1481" t="s">
        <v>23</v>
      </c>
      <c r="C1481" t="s">
        <v>18</v>
      </c>
      <c r="D1481" t="s">
        <v>25</v>
      </c>
      <c r="E1481" t="s">
        <v>20</v>
      </c>
      <c r="F1481" t="s">
        <v>26</v>
      </c>
      <c r="G1481">
        <v>77.81</v>
      </c>
      <c r="H1481">
        <v>8</v>
      </c>
      <c r="I1481">
        <v>483.2</v>
      </c>
      <c r="J1481">
        <v>2</v>
      </c>
      <c r="K1481">
        <v>350.77</v>
      </c>
    </row>
    <row r="1482" spans="1:11" x14ac:dyDescent="0.3">
      <c r="A1482" s="1">
        <v>45119</v>
      </c>
      <c r="B1482" t="s">
        <v>17</v>
      </c>
      <c r="C1482" t="s">
        <v>29</v>
      </c>
      <c r="D1482" t="s">
        <v>13</v>
      </c>
      <c r="E1482" t="s">
        <v>14</v>
      </c>
      <c r="F1482" t="s">
        <v>26</v>
      </c>
      <c r="G1482">
        <v>125.9</v>
      </c>
      <c r="H1482">
        <v>7</v>
      </c>
      <c r="I1482">
        <v>241.88</v>
      </c>
      <c r="J1482">
        <v>3</v>
      </c>
      <c r="K1482">
        <v>2.0699999999999998</v>
      </c>
    </row>
    <row r="1483" spans="1:11" x14ac:dyDescent="0.3">
      <c r="A1483" s="1">
        <v>45131</v>
      </c>
      <c r="B1483" t="s">
        <v>17</v>
      </c>
      <c r="C1483" t="s">
        <v>24</v>
      </c>
      <c r="D1483" t="s">
        <v>28</v>
      </c>
      <c r="E1483" t="s">
        <v>20</v>
      </c>
      <c r="F1483" t="s">
        <v>15</v>
      </c>
      <c r="G1483">
        <v>13.15</v>
      </c>
      <c r="H1483">
        <v>3</v>
      </c>
      <c r="I1483">
        <v>51.91</v>
      </c>
      <c r="J1483">
        <v>3</v>
      </c>
      <c r="K1483">
        <v>-15.19</v>
      </c>
    </row>
    <row r="1484" spans="1:11" x14ac:dyDescent="0.3">
      <c r="A1484" s="1">
        <v>45118</v>
      </c>
      <c r="B1484" t="s">
        <v>17</v>
      </c>
      <c r="C1484" t="s">
        <v>29</v>
      </c>
      <c r="D1484" t="s">
        <v>28</v>
      </c>
      <c r="E1484" t="s">
        <v>14</v>
      </c>
      <c r="F1484" t="s">
        <v>15</v>
      </c>
      <c r="G1484">
        <v>161.07</v>
      </c>
      <c r="H1484">
        <v>14</v>
      </c>
      <c r="I1484">
        <v>1095.28</v>
      </c>
      <c r="J1484">
        <v>1</v>
      </c>
      <c r="K1484">
        <v>893.33</v>
      </c>
    </row>
    <row r="1485" spans="1:11" x14ac:dyDescent="0.3">
      <c r="A1485" s="1">
        <v>45212</v>
      </c>
      <c r="B1485" t="s">
        <v>23</v>
      </c>
      <c r="C1485" t="s">
        <v>24</v>
      </c>
      <c r="D1485" t="s">
        <v>28</v>
      </c>
      <c r="E1485" t="s">
        <v>14</v>
      </c>
      <c r="F1485" t="s">
        <v>15</v>
      </c>
      <c r="G1485">
        <v>132.88</v>
      </c>
      <c r="H1485">
        <v>5</v>
      </c>
      <c r="I1485">
        <v>413.77</v>
      </c>
      <c r="J1485">
        <v>0</v>
      </c>
      <c r="K1485">
        <v>280.89</v>
      </c>
    </row>
    <row r="1486" spans="1:11" x14ac:dyDescent="0.3">
      <c r="A1486" s="1">
        <v>45217</v>
      </c>
      <c r="B1486" t="s">
        <v>23</v>
      </c>
      <c r="C1486" t="s">
        <v>18</v>
      </c>
      <c r="D1486" t="s">
        <v>27</v>
      </c>
      <c r="E1486" t="s">
        <v>14</v>
      </c>
      <c r="F1486" t="s">
        <v>22</v>
      </c>
      <c r="G1486">
        <v>138.99</v>
      </c>
      <c r="H1486">
        <v>5</v>
      </c>
      <c r="I1486">
        <v>90.06</v>
      </c>
      <c r="J1486">
        <v>2</v>
      </c>
      <c r="K1486">
        <v>-121.55</v>
      </c>
    </row>
    <row r="1487" spans="1:11" x14ac:dyDescent="0.3">
      <c r="A1487" s="1">
        <v>45197</v>
      </c>
      <c r="B1487" t="s">
        <v>23</v>
      </c>
      <c r="C1487" t="s">
        <v>18</v>
      </c>
      <c r="D1487" t="s">
        <v>25</v>
      </c>
      <c r="E1487" t="s">
        <v>20</v>
      </c>
      <c r="F1487" t="s">
        <v>16</v>
      </c>
      <c r="G1487">
        <v>44.42</v>
      </c>
      <c r="H1487">
        <v>9</v>
      </c>
      <c r="I1487">
        <v>531.99</v>
      </c>
      <c r="J1487">
        <v>3</v>
      </c>
      <c r="K1487">
        <v>419.36</v>
      </c>
    </row>
    <row r="1488" spans="1:11" x14ac:dyDescent="0.3">
      <c r="A1488" s="1">
        <v>45122</v>
      </c>
      <c r="B1488" t="s">
        <v>17</v>
      </c>
      <c r="C1488" t="s">
        <v>24</v>
      </c>
      <c r="D1488" t="s">
        <v>25</v>
      </c>
      <c r="E1488" t="s">
        <v>20</v>
      </c>
      <c r="F1488" t="s">
        <v>15</v>
      </c>
      <c r="G1488">
        <v>75.010000000000005</v>
      </c>
      <c r="H1488">
        <v>12</v>
      </c>
      <c r="I1488">
        <v>621.19000000000005</v>
      </c>
      <c r="J1488">
        <v>3</v>
      </c>
      <c r="K1488">
        <v>513.32000000000005</v>
      </c>
    </row>
    <row r="1489" spans="1:11" x14ac:dyDescent="0.3">
      <c r="A1489" s="1">
        <v>45210</v>
      </c>
      <c r="B1489" t="s">
        <v>23</v>
      </c>
      <c r="C1489" t="s">
        <v>12</v>
      </c>
      <c r="D1489" t="s">
        <v>25</v>
      </c>
      <c r="E1489" t="s">
        <v>14</v>
      </c>
      <c r="F1489" t="s">
        <v>16</v>
      </c>
      <c r="G1489">
        <v>108.66</v>
      </c>
      <c r="H1489">
        <v>2</v>
      </c>
      <c r="I1489">
        <v>198.48</v>
      </c>
      <c r="J1489">
        <v>1</v>
      </c>
      <c r="K1489">
        <v>44.85</v>
      </c>
    </row>
    <row r="1490" spans="1:11" x14ac:dyDescent="0.3">
      <c r="A1490" s="1">
        <v>44946</v>
      </c>
      <c r="B1490" t="s">
        <v>21</v>
      </c>
      <c r="C1490" t="s">
        <v>29</v>
      </c>
      <c r="D1490" t="s">
        <v>28</v>
      </c>
      <c r="E1490" t="s">
        <v>14</v>
      </c>
      <c r="F1490" t="s">
        <v>22</v>
      </c>
      <c r="G1490">
        <v>117.77</v>
      </c>
      <c r="H1490">
        <v>14</v>
      </c>
      <c r="I1490">
        <v>288.38</v>
      </c>
      <c r="J1490">
        <v>0</v>
      </c>
      <c r="K1490">
        <v>170.61</v>
      </c>
    </row>
    <row r="1491" spans="1:11" x14ac:dyDescent="0.3">
      <c r="A1491" s="1">
        <v>45035</v>
      </c>
      <c r="B1491" t="s">
        <v>11</v>
      </c>
      <c r="C1491" t="s">
        <v>12</v>
      </c>
      <c r="D1491" t="s">
        <v>27</v>
      </c>
      <c r="E1491" t="s">
        <v>20</v>
      </c>
      <c r="F1491" t="s">
        <v>16</v>
      </c>
      <c r="G1491">
        <v>64.95</v>
      </c>
      <c r="H1491">
        <v>20</v>
      </c>
      <c r="I1491">
        <v>1927.54</v>
      </c>
      <c r="J1491">
        <v>2</v>
      </c>
      <c r="K1491">
        <v>1789.26</v>
      </c>
    </row>
    <row r="1492" spans="1:11" x14ac:dyDescent="0.3">
      <c r="A1492" s="1">
        <v>45146</v>
      </c>
      <c r="B1492" t="s">
        <v>17</v>
      </c>
      <c r="C1492" t="s">
        <v>24</v>
      </c>
      <c r="D1492" t="s">
        <v>27</v>
      </c>
      <c r="E1492" t="s">
        <v>14</v>
      </c>
      <c r="F1492" t="s">
        <v>15</v>
      </c>
      <c r="G1492">
        <v>150.44999999999999</v>
      </c>
      <c r="H1492">
        <v>11</v>
      </c>
      <c r="I1492">
        <v>449.83</v>
      </c>
      <c r="J1492">
        <v>0</v>
      </c>
      <c r="K1492">
        <v>299.38</v>
      </c>
    </row>
    <row r="1493" spans="1:11" x14ac:dyDescent="0.3">
      <c r="A1493" s="1">
        <v>45212</v>
      </c>
      <c r="B1493" t="s">
        <v>23</v>
      </c>
      <c r="C1493" t="s">
        <v>12</v>
      </c>
      <c r="D1493" t="s">
        <v>13</v>
      </c>
      <c r="E1493" t="s">
        <v>20</v>
      </c>
      <c r="F1493" t="s">
        <v>26</v>
      </c>
      <c r="G1493">
        <v>152.97999999999999</v>
      </c>
      <c r="H1493">
        <v>19</v>
      </c>
      <c r="I1493">
        <v>1442.03</v>
      </c>
      <c r="J1493">
        <v>3</v>
      </c>
      <c r="K1493">
        <v>1153.1199999999999</v>
      </c>
    </row>
    <row r="1494" spans="1:11" x14ac:dyDescent="0.3">
      <c r="A1494" s="1">
        <v>45197</v>
      </c>
      <c r="B1494" t="s">
        <v>23</v>
      </c>
      <c r="C1494" t="s">
        <v>29</v>
      </c>
      <c r="D1494" t="s">
        <v>19</v>
      </c>
      <c r="E1494" t="s">
        <v>20</v>
      </c>
      <c r="F1494" t="s">
        <v>22</v>
      </c>
      <c r="G1494">
        <v>10.19</v>
      </c>
      <c r="H1494">
        <v>18</v>
      </c>
      <c r="I1494">
        <v>872.25</v>
      </c>
      <c r="J1494">
        <v>0</v>
      </c>
      <c r="K1494">
        <v>862.06</v>
      </c>
    </row>
    <row r="1495" spans="1:11" x14ac:dyDescent="0.3">
      <c r="A1495" s="1">
        <v>45221</v>
      </c>
      <c r="B1495" t="s">
        <v>23</v>
      </c>
      <c r="C1495" t="s">
        <v>24</v>
      </c>
      <c r="D1495" t="s">
        <v>13</v>
      </c>
      <c r="E1495" t="s">
        <v>14</v>
      </c>
      <c r="F1495" t="s">
        <v>22</v>
      </c>
      <c r="G1495">
        <v>75.2</v>
      </c>
      <c r="H1495">
        <v>11</v>
      </c>
      <c r="I1495">
        <v>250.58</v>
      </c>
      <c r="J1495">
        <v>2</v>
      </c>
      <c r="K1495">
        <v>116.64</v>
      </c>
    </row>
    <row r="1496" spans="1:11" x14ac:dyDescent="0.3">
      <c r="A1496" s="1">
        <v>45202</v>
      </c>
      <c r="B1496" t="s">
        <v>23</v>
      </c>
      <c r="C1496" t="s">
        <v>18</v>
      </c>
      <c r="D1496" t="s">
        <v>27</v>
      </c>
      <c r="E1496" t="s">
        <v>20</v>
      </c>
      <c r="F1496" t="s">
        <v>16</v>
      </c>
      <c r="G1496">
        <v>91.87</v>
      </c>
      <c r="H1496">
        <v>20</v>
      </c>
      <c r="I1496">
        <v>1575.64</v>
      </c>
      <c r="J1496">
        <v>0</v>
      </c>
      <c r="K1496">
        <v>1483.77</v>
      </c>
    </row>
    <row r="1497" spans="1:11" x14ac:dyDescent="0.3">
      <c r="A1497" s="1">
        <v>45082</v>
      </c>
      <c r="B1497" t="s">
        <v>17</v>
      </c>
      <c r="C1497" t="s">
        <v>12</v>
      </c>
      <c r="D1497" t="s">
        <v>25</v>
      </c>
      <c r="E1497" t="s">
        <v>14</v>
      </c>
      <c r="F1497" t="s">
        <v>22</v>
      </c>
      <c r="G1497">
        <v>163.22999999999999</v>
      </c>
      <c r="H1497">
        <v>1</v>
      </c>
      <c r="I1497">
        <v>81.59</v>
      </c>
      <c r="J1497">
        <v>1</v>
      </c>
      <c r="K1497">
        <v>-111.52</v>
      </c>
    </row>
    <row r="1498" spans="1:11" x14ac:dyDescent="0.3">
      <c r="A1498" s="1">
        <v>44941</v>
      </c>
      <c r="B1498" t="s">
        <v>21</v>
      </c>
      <c r="C1498" t="s">
        <v>12</v>
      </c>
      <c r="D1498" t="s">
        <v>27</v>
      </c>
      <c r="E1498" t="s">
        <v>14</v>
      </c>
      <c r="F1498" t="s">
        <v>26</v>
      </c>
      <c r="G1498">
        <v>13.39</v>
      </c>
      <c r="H1498">
        <v>10</v>
      </c>
      <c r="I1498">
        <v>354.14</v>
      </c>
      <c r="J1498">
        <v>0</v>
      </c>
      <c r="K1498">
        <v>340.75</v>
      </c>
    </row>
    <row r="1499" spans="1:11" x14ac:dyDescent="0.3">
      <c r="A1499" s="1">
        <v>45134</v>
      </c>
      <c r="B1499" t="s">
        <v>17</v>
      </c>
      <c r="C1499" t="s">
        <v>12</v>
      </c>
      <c r="D1499" t="s">
        <v>28</v>
      </c>
      <c r="E1499" t="s">
        <v>14</v>
      </c>
      <c r="F1499" t="s">
        <v>15</v>
      </c>
      <c r="G1499">
        <v>182.41</v>
      </c>
      <c r="H1499">
        <v>1</v>
      </c>
      <c r="I1499">
        <v>74.11</v>
      </c>
      <c r="J1499">
        <v>1</v>
      </c>
      <c r="K1499">
        <v>-151.61000000000001</v>
      </c>
    </row>
    <row r="1500" spans="1:11" x14ac:dyDescent="0.3">
      <c r="A1500" s="1">
        <v>45136</v>
      </c>
      <c r="B1500" t="s">
        <v>17</v>
      </c>
      <c r="C1500" t="s">
        <v>24</v>
      </c>
      <c r="D1500" t="s">
        <v>28</v>
      </c>
      <c r="E1500" t="s">
        <v>14</v>
      </c>
      <c r="F1500" t="s">
        <v>16</v>
      </c>
      <c r="G1500">
        <v>166.06</v>
      </c>
      <c r="H1500">
        <v>10</v>
      </c>
      <c r="I1500">
        <v>583.51</v>
      </c>
      <c r="J1500">
        <v>2</v>
      </c>
      <c r="K1500">
        <v>381.65</v>
      </c>
    </row>
    <row r="1501" spans="1:11" x14ac:dyDescent="0.3">
      <c r="A1501" s="1">
        <v>45256</v>
      </c>
      <c r="B1501" t="s">
        <v>23</v>
      </c>
      <c r="C1501" t="s">
        <v>18</v>
      </c>
      <c r="D1501" t="s">
        <v>28</v>
      </c>
      <c r="E1501" t="s">
        <v>20</v>
      </c>
      <c r="F1501" t="s">
        <v>26</v>
      </c>
      <c r="G1501">
        <v>145.57</v>
      </c>
      <c r="H1501">
        <v>7</v>
      </c>
      <c r="I1501">
        <v>355.82</v>
      </c>
      <c r="J1501">
        <v>1</v>
      </c>
      <c r="K1501">
        <v>188.97</v>
      </c>
    </row>
    <row r="1502" spans="1:11" x14ac:dyDescent="0.3">
      <c r="A1502" s="1">
        <v>45025</v>
      </c>
      <c r="B1502" t="s">
        <v>11</v>
      </c>
      <c r="C1502" t="s">
        <v>18</v>
      </c>
      <c r="D1502" t="s">
        <v>25</v>
      </c>
      <c r="E1502" t="s">
        <v>14</v>
      </c>
      <c r="F1502" t="s">
        <v>15</v>
      </c>
      <c r="G1502">
        <v>130.99</v>
      </c>
      <c r="H1502">
        <v>3</v>
      </c>
      <c r="I1502">
        <v>244.35</v>
      </c>
      <c r="J1502">
        <v>1</v>
      </c>
      <c r="K1502">
        <v>72.569999999999993</v>
      </c>
    </row>
    <row r="1503" spans="1:11" x14ac:dyDescent="0.3">
      <c r="A1503" s="1">
        <v>45149</v>
      </c>
      <c r="B1503" t="s">
        <v>17</v>
      </c>
      <c r="C1503" t="s">
        <v>12</v>
      </c>
      <c r="D1503" t="s">
        <v>27</v>
      </c>
      <c r="E1503" t="s">
        <v>20</v>
      </c>
      <c r="F1503" t="s">
        <v>15</v>
      </c>
      <c r="G1503">
        <v>149.11000000000001</v>
      </c>
      <c r="H1503">
        <v>6</v>
      </c>
      <c r="I1503">
        <v>499.28</v>
      </c>
      <c r="J1503">
        <v>2</v>
      </c>
      <c r="K1503">
        <v>295.32</v>
      </c>
    </row>
    <row r="1504" spans="1:11" x14ac:dyDescent="0.3">
      <c r="A1504" s="1">
        <v>45188</v>
      </c>
      <c r="B1504" t="s">
        <v>23</v>
      </c>
      <c r="C1504" t="s">
        <v>29</v>
      </c>
      <c r="D1504" t="s">
        <v>28</v>
      </c>
      <c r="E1504" t="s">
        <v>20</v>
      </c>
      <c r="F1504" t="s">
        <v>16</v>
      </c>
      <c r="G1504">
        <v>177.02</v>
      </c>
      <c r="H1504">
        <v>5</v>
      </c>
      <c r="I1504">
        <v>487.66</v>
      </c>
      <c r="J1504">
        <v>3</v>
      </c>
      <c r="K1504">
        <v>199.61</v>
      </c>
    </row>
    <row r="1505" spans="1:11" x14ac:dyDescent="0.3">
      <c r="A1505" s="1">
        <v>45137</v>
      </c>
      <c r="B1505" t="s">
        <v>17</v>
      </c>
      <c r="C1505" t="s">
        <v>12</v>
      </c>
      <c r="D1505" t="s">
        <v>27</v>
      </c>
      <c r="E1505" t="s">
        <v>14</v>
      </c>
      <c r="F1505" t="s">
        <v>22</v>
      </c>
      <c r="G1505">
        <v>120.96</v>
      </c>
      <c r="H1505">
        <v>2</v>
      </c>
      <c r="I1505">
        <v>141.46</v>
      </c>
      <c r="J1505">
        <v>0</v>
      </c>
      <c r="K1505">
        <v>20.5</v>
      </c>
    </row>
    <row r="1506" spans="1:11" x14ac:dyDescent="0.3">
      <c r="A1506" s="1">
        <v>45018</v>
      </c>
      <c r="B1506" t="s">
        <v>11</v>
      </c>
      <c r="C1506" t="s">
        <v>12</v>
      </c>
      <c r="D1506" t="s">
        <v>13</v>
      </c>
      <c r="E1506" t="s">
        <v>20</v>
      </c>
      <c r="F1506" t="s">
        <v>22</v>
      </c>
      <c r="G1506">
        <v>52.32</v>
      </c>
      <c r="H1506">
        <v>12</v>
      </c>
      <c r="I1506">
        <v>703.67</v>
      </c>
      <c r="J1506">
        <v>0</v>
      </c>
      <c r="K1506">
        <v>651.35</v>
      </c>
    </row>
    <row r="1507" spans="1:11" x14ac:dyDescent="0.3">
      <c r="A1507" s="1">
        <v>45117</v>
      </c>
      <c r="B1507" t="s">
        <v>17</v>
      </c>
      <c r="C1507" t="s">
        <v>29</v>
      </c>
      <c r="D1507" t="s">
        <v>25</v>
      </c>
      <c r="E1507" t="s">
        <v>20</v>
      </c>
      <c r="F1507" t="s">
        <v>22</v>
      </c>
      <c r="G1507">
        <v>101.36</v>
      </c>
      <c r="H1507">
        <v>16</v>
      </c>
      <c r="I1507">
        <v>1169.56</v>
      </c>
      <c r="J1507">
        <v>3</v>
      </c>
      <c r="K1507">
        <v>921.39</v>
      </c>
    </row>
    <row r="1508" spans="1:11" x14ac:dyDescent="0.3">
      <c r="A1508" s="1">
        <v>44983</v>
      </c>
      <c r="B1508" t="s">
        <v>21</v>
      </c>
      <c r="C1508" t="s">
        <v>24</v>
      </c>
      <c r="D1508" t="s">
        <v>28</v>
      </c>
      <c r="E1508" t="s">
        <v>14</v>
      </c>
      <c r="F1508" t="s">
        <v>16</v>
      </c>
      <c r="G1508">
        <v>191.12</v>
      </c>
      <c r="H1508">
        <v>10</v>
      </c>
      <c r="I1508">
        <v>232.41</v>
      </c>
      <c r="J1508">
        <v>1</v>
      </c>
      <c r="K1508">
        <v>14.28</v>
      </c>
    </row>
    <row r="1509" spans="1:11" x14ac:dyDescent="0.3">
      <c r="A1509" s="1">
        <v>45132</v>
      </c>
      <c r="B1509" t="s">
        <v>17</v>
      </c>
      <c r="C1509" t="s">
        <v>24</v>
      </c>
      <c r="D1509" t="s">
        <v>25</v>
      </c>
      <c r="E1509" t="s">
        <v>14</v>
      </c>
      <c r="F1509" t="s">
        <v>15</v>
      </c>
      <c r="G1509">
        <v>33.69</v>
      </c>
      <c r="H1509">
        <v>8</v>
      </c>
      <c r="I1509">
        <v>466.23</v>
      </c>
      <c r="J1509">
        <v>0</v>
      </c>
      <c r="K1509">
        <v>432.54</v>
      </c>
    </row>
    <row r="1510" spans="1:11" x14ac:dyDescent="0.3">
      <c r="A1510" s="1">
        <v>45203</v>
      </c>
      <c r="B1510" t="s">
        <v>23</v>
      </c>
      <c r="C1510" t="s">
        <v>29</v>
      </c>
      <c r="D1510" t="s">
        <v>19</v>
      </c>
      <c r="E1510" t="s">
        <v>20</v>
      </c>
      <c r="F1510" t="s">
        <v>26</v>
      </c>
      <c r="G1510">
        <v>29.66</v>
      </c>
      <c r="H1510">
        <v>7</v>
      </c>
      <c r="I1510">
        <v>82.2</v>
      </c>
      <c r="J1510">
        <v>1</v>
      </c>
      <c r="K1510">
        <v>33.31</v>
      </c>
    </row>
    <row r="1511" spans="1:11" x14ac:dyDescent="0.3">
      <c r="A1511" s="1">
        <v>45068</v>
      </c>
      <c r="B1511" t="s">
        <v>11</v>
      </c>
      <c r="C1511" t="s">
        <v>18</v>
      </c>
      <c r="D1511" t="s">
        <v>28</v>
      </c>
      <c r="E1511" t="s">
        <v>14</v>
      </c>
      <c r="F1511" t="s">
        <v>15</v>
      </c>
      <c r="G1511">
        <v>129.72999999999999</v>
      </c>
      <c r="H1511">
        <v>4</v>
      </c>
      <c r="I1511">
        <v>329.44</v>
      </c>
      <c r="J1511">
        <v>2</v>
      </c>
      <c r="K1511">
        <v>115.46</v>
      </c>
    </row>
    <row r="1512" spans="1:11" x14ac:dyDescent="0.3">
      <c r="A1512" s="1">
        <v>45195</v>
      </c>
      <c r="B1512" t="s">
        <v>23</v>
      </c>
      <c r="C1512" t="s">
        <v>29</v>
      </c>
      <c r="D1512" t="s">
        <v>19</v>
      </c>
      <c r="E1512" t="s">
        <v>20</v>
      </c>
      <c r="F1512" t="s">
        <v>26</v>
      </c>
      <c r="G1512">
        <v>158.11000000000001</v>
      </c>
      <c r="H1512">
        <v>18</v>
      </c>
      <c r="I1512">
        <v>1725.13</v>
      </c>
      <c r="J1512">
        <v>3</v>
      </c>
      <c r="K1512">
        <v>1543.83</v>
      </c>
    </row>
    <row r="1513" spans="1:11" x14ac:dyDescent="0.3">
      <c r="A1513" s="1">
        <v>44957</v>
      </c>
      <c r="B1513" t="s">
        <v>21</v>
      </c>
      <c r="C1513" t="s">
        <v>18</v>
      </c>
      <c r="D1513" t="s">
        <v>28</v>
      </c>
      <c r="E1513" t="s">
        <v>20</v>
      </c>
      <c r="F1513" t="s">
        <v>26</v>
      </c>
      <c r="G1513">
        <v>51.32</v>
      </c>
      <c r="H1513">
        <v>18</v>
      </c>
      <c r="I1513">
        <v>1152.26</v>
      </c>
      <c r="J1513">
        <v>1</v>
      </c>
      <c r="K1513">
        <v>1054.28</v>
      </c>
    </row>
    <row r="1514" spans="1:11" x14ac:dyDescent="0.3">
      <c r="A1514" s="1">
        <v>45172</v>
      </c>
      <c r="B1514" t="s">
        <v>23</v>
      </c>
      <c r="C1514" t="s">
        <v>24</v>
      </c>
      <c r="D1514" t="s">
        <v>27</v>
      </c>
      <c r="E1514" t="s">
        <v>14</v>
      </c>
      <c r="F1514" t="s">
        <v>16</v>
      </c>
      <c r="G1514">
        <v>105.29</v>
      </c>
      <c r="H1514">
        <v>7</v>
      </c>
      <c r="I1514">
        <v>303.12</v>
      </c>
      <c r="J1514">
        <v>1</v>
      </c>
      <c r="K1514">
        <v>167.43</v>
      </c>
    </row>
    <row r="1515" spans="1:11" x14ac:dyDescent="0.3">
      <c r="A1515" s="1">
        <v>44952</v>
      </c>
      <c r="B1515" t="s">
        <v>21</v>
      </c>
      <c r="C1515" t="s">
        <v>29</v>
      </c>
      <c r="D1515" t="s">
        <v>28</v>
      </c>
      <c r="E1515" t="s">
        <v>20</v>
      </c>
      <c r="F1515" t="s">
        <v>26</v>
      </c>
      <c r="G1515">
        <v>146.16999999999999</v>
      </c>
      <c r="H1515">
        <v>12</v>
      </c>
      <c r="I1515">
        <v>850.07</v>
      </c>
      <c r="J1515">
        <v>3</v>
      </c>
      <c r="K1515">
        <v>616.5</v>
      </c>
    </row>
    <row r="1516" spans="1:11" x14ac:dyDescent="0.3">
      <c r="A1516" s="1">
        <v>45078</v>
      </c>
      <c r="B1516" t="s">
        <v>17</v>
      </c>
      <c r="C1516" t="s">
        <v>29</v>
      </c>
      <c r="D1516" t="s">
        <v>19</v>
      </c>
      <c r="E1516" t="s">
        <v>20</v>
      </c>
      <c r="F1516" t="s">
        <v>22</v>
      </c>
      <c r="G1516">
        <v>47.36</v>
      </c>
      <c r="H1516">
        <v>20</v>
      </c>
      <c r="I1516">
        <v>725</v>
      </c>
      <c r="J1516">
        <v>1</v>
      </c>
      <c r="K1516">
        <v>634.19000000000005</v>
      </c>
    </row>
    <row r="1517" spans="1:11" x14ac:dyDescent="0.3">
      <c r="A1517" s="1">
        <v>45005</v>
      </c>
      <c r="B1517" t="s">
        <v>11</v>
      </c>
      <c r="C1517" t="s">
        <v>29</v>
      </c>
      <c r="D1517" t="s">
        <v>13</v>
      </c>
      <c r="E1517" t="s">
        <v>20</v>
      </c>
      <c r="F1517" t="s">
        <v>16</v>
      </c>
      <c r="G1517">
        <v>71.33</v>
      </c>
      <c r="H1517">
        <v>14</v>
      </c>
      <c r="I1517">
        <v>1170.3399999999999</v>
      </c>
      <c r="J1517">
        <v>2</v>
      </c>
      <c r="K1517">
        <v>1071.53</v>
      </c>
    </row>
    <row r="1518" spans="1:11" x14ac:dyDescent="0.3">
      <c r="A1518" s="1">
        <v>45218</v>
      </c>
      <c r="B1518" t="s">
        <v>23</v>
      </c>
      <c r="C1518" t="s">
        <v>12</v>
      </c>
      <c r="D1518" t="s">
        <v>25</v>
      </c>
      <c r="E1518" t="s">
        <v>14</v>
      </c>
      <c r="F1518" t="s">
        <v>16</v>
      </c>
      <c r="G1518">
        <v>167.87</v>
      </c>
      <c r="H1518">
        <v>4</v>
      </c>
      <c r="I1518">
        <v>345.7</v>
      </c>
      <c r="J1518">
        <v>0</v>
      </c>
      <c r="K1518">
        <v>177.83</v>
      </c>
    </row>
    <row r="1519" spans="1:11" x14ac:dyDescent="0.3">
      <c r="A1519" s="1">
        <v>45137</v>
      </c>
      <c r="B1519" t="s">
        <v>17</v>
      </c>
      <c r="C1519" t="s">
        <v>18</v>
      </c>
      <c r="D1519" t="s">
        <v>27</v>
      </c>
      <c r="E1519" t="s">
        <v>14</v>
      </c>
      <c r="F1519" t="s">
        <v>15</v>
      </c>
      <c r="G1519">
        <v>187.46</v>
      </c>
      <c r="H1519">
        <v>3</v>
      </c>
      <c r="I1519">
        <v>182.99</v>
      </c>
      <c r="J1519">
        <v>3</v>
      </c>
      <c r="K1519">
        <v>-28</v>
      </c>
    </row>
    <row r="1520" spans="1:11" x14ac:dyDescent="0.3">
      <c r="A1520" s="1">
        <v>45223</v>
      </c>
      <c r="B1520" t="s">
        <v>23</v>
      </c>
      <c r="C1520" t="s">
        <v>18</v>
      </c>
      <c r="D1520" t="s">
        <v>28</v>
      </c>
      <c r="E1520" t="s">
        <v>20</v>
      </c>
      <c r="F1520" t="s">
        <v>15</v>
      </c>
      <c r="G1520">
        <v>184.58</v>
      </c>
      <c r="H1520">
        <v>4</v>
      </c>
      <c r="I1520">
        <v>381.05</v>
      </c>
      <c r="J1520">
        <v>0</v>
      </c>
      <c r="K1520">
        <v>196.47</v>
      </c>
    </row>
    <row r="1521" spans="1:11" x14ac:dyDescent="0.3">
      <c r="A1521" s="1">
        <v>45069</v>
      </c>
      <c r="B1521" t="s">
        <v>11</v>
      </c>
      <c r="C1521" t="s">
        <v>29</v>
      </c>
      <c r="D1521" t="s">
        <v>25</v>
      </c>
      <c r="E1521" t="s">
        <v>20</v>
      </c>
      <c r="F1521" t="s">
        <v>15</v>
      </c>
      <c r="G1521">
        <v>198.63</v>
      </c>
      <c r="H1521">
        <v>1</v>
      </c>
      <c r="I1521">
        <v>81.78</v>
      </c>
      <c r="J1521">
        <v>0</v>
      </c>
      <c r="K1521">
        <v>-116.85</v>
      </c>
    </row>
    <row r="1522" spans="1:11" x14ac:dyDescent="0.3">
      <c r="A1522" s="1">
        <v>45228</v>
      </c>
      <c r="B1522" t="s">
        <v>23</v>
      </c>
      <c r="C1522" t="s">
        <v>29</v>
      </c>
      <c r="D1522" t="s">
        <v>13</v>
      </c>
      <c r="E1522" t="s">
        <v>14</v>
      </c>
      <c r="F1522" t="s">
        <v>26</v>
      </c>
      <c r="G1522">
        <v>29.59</v>
      </c>
      <c r="H1522">
        <v>17</v>
      </c>
      <c r="I1522">
        <v>1367.74</v>
      </c>
      <c r="J1522">
        <v>2</v>
      </c>
      <c r="K1522">
        <v>1279.03</v>
      </c>
    </row>
    <row r="1523" spans="1:11" x14ac:dyDescent="0.3">
      <c r="A1523" s="1">
        <v>44956</v>
      </c>
      <c r="B1523" t="s">
        <v>21</v>
      </c>
      <c r="C1523" t="s">
        <v>12</v>
      </c>
      <c r="D1523" t="s">
        <v>13</v>
      </c>
      <c r="E1523" t="s">
        <v>20</v>
      </c>
      <c r="F1523" t="s">
        <v>16</v>
      </c>
      <c r="G1523">
        <v>134.71</v>
      </c>
      <c r="H1523">
        <v>15</v>
      </c>
      <c r="I1523">
        <v>465.7</v>
      </c>
      <c r="J1523">
        <v>3</v>
      </c>
      <c r="K1523">
        <v>218.49</v>
      </c>
    </row>
    <row r="1524" spans="1:11" x14ac:dyDescent="0.3">
      <c r="A1524" s="1">
        <v>45114</v>
      </c>
      <c r="B1524" t="s">
        <v>17</v>
      </c>
      <c r="C1524" t="s">
        <v>18</v>
      </c>
      <c r="D1524" t="s">
        <v>28</v>
      </c>
      <c r="E1524" t="s">
        <v>20</v>
      </c>
      <c r="F1524" t="s">
        <v>26</v>
      </c>
      <c r="G1524">
        <v>27.4</v>
      </c>
      <c r="H1524">
        <v>1</v>
      </c>
      <c r="I1524">
        <v>76.569999999999993</v>
      </c>
      <c r="J1524">
        <v>0</v>
      </c>
      <c r="K1524">
        <v>49.17</v>
      </c>
    </row>
    <row r="1525" spans="1:11" x14ac:dyDescent="0.3">
      <c r="A1525" s="1">
        <v>45195</v>
      </c>
      <c r="B1525" t="s">
        <v>23</v>
      </c>
      <c r="C1525" t="s">
        <v>24</v>
      </c>
      <c r="D1525" t="s">
        <v>19</v>
      </c>
      <c r="E1525" t="s">
        <v>14</v>
      </c>
      <c r="F1525" t="s">
        <v>15</v>
      </c>
      <c r="G1525">
        <v>20.16</v>
      </c>
      <c r="H1525">
        <v>19</v>
      </c>
      <c r="I1525">
        <v>483.72</v>
      </c>
      <c r="J1525">
        <v>2</v>
      </c>
      <c r="K1525">
        <v>370.58</v>
      </c>
    </row>
    <row r="1526" spans="1:11" x14ac:dyDescent="0.3">
      <c r="A1526" s="1">
        <v>45046</v>
      </c>
      <c r="B1526" t="s">
        <v>11</v>
      </c>
      <c r="C1526" t="s">
        <v>24</v>
      </c>
      <c r="D1526" t="s">
        <v>19</v>
      </c>
      <c r="E1526" t="s">
        <v>20</v>
      </c>
      <c r="F1526" t="s">
        <v>15</v>
      </c>
      <c r="G1526">
        <v>66.5</v>
      </c>
      <c r="H1526">
        <v>16</v>
      </c>
      <c r="I1526">
        <v>942.82</v>
      </c>
      <c r="J1526">
        <v>1</v>
      </c>
      <c r="K1526">
        <v>858.34</v>
      </c>
    </row>
    <row r="1527" spans="1:11" x14ac:dyDescent="0.3">
      <c r="A1527" s="1">
        <v>44991</v>
      </c>
      <c r="B1527" t="s">
        <v>11</v>
      </c>
      <c r="C1527" t="s">
        <v>18</v>
      </c>
      <c r="D1527" t="s">
        <v>25</v>
      </c>
      <c r="E1527" t="s">
        <v>14</v>
      </c>
      <c r="F1527" t="s">
        <v>22</v>
      </c>
      <c r="G1527">
        <v>199.36</v>
      </c>
      <c r="H1527">
        <v>10</v>
      </c>
      <c r="I1527">
        <v>296.92</v>
      </c>
      <c r="J1527">
        <v>0</v>
      </c>
      <c r="K1527">
        <v>97.56</v>
      </c>
    </row>
    <row r="1528" spans="1:11" x14ac:dyDescent="0.3">
      <c r="A1528" s="1">
        <v>44942</v>
      </c>
      <c r="B1528" t="s">
        <v>21</v>
      </c>
      <c r="C1528" t="s">
        <v>29</v>
      </c>
      <c r="D1528" t="s">
        <v>13</v>
      </c>
      <c r="E1528" t="s">
        <v>20</v>
      </c>
      <c r="F1528" t="s">
        <v>16</v>
      </c>
      <c r="G1528">
        <v>128</v>
      </c>
      <c r="H1528">
        <v>9</v>
      </c>
      <c r="I1528">
        <v>791.91</v>
      </c>
      <c r="J1528">
        <v>3</v>
      </c>
      <c r="K1528">
        <v>607.17999999999995</v>
      </c>
    </row>
    <row r="1529" spans="1:11" x14ac:dyDescent="0.3">
      <c r="A1529" s="1">
        <v>44982</v>
      </c>
      <c r="B1529" t="s">
        <v>21</v>
      </c>
      <c r="C1529" t="s">
        <v>24</v>
      </c>
      <c r="D1529" t="s">
        <v>19</v>
      </c>
      <c r="E1529" t="s">
        <v>20</v>
      </c>
      <c r="F1529" t="s">
        <v>26</v>
      </c>
      <c r="G1529">
        <v>117.47</v>
      </c>
      <c r="H1529">
        <v>19</v>
      </c>
      <c r="I1529">
        <v>978.2</v>
      </c>
      <c r="J1529">
        <v>0</v>
      </c>
      <c r="K1529">
        <v>860.73</v>
      </c>
    </row>
    <row r="1530" spans="1:11" x14ac:dyDescent="0.3">
      <c r="A1530" s="1">
        <v>44937</v>
      </c>
      <c r="B1530" t="s">
        <v>21</v>
      </c>
      <c r="C1530" t="s">
        <v>24</v>
      </c>
      <c r="D1530" t="s">
        <v>27</v>
      </c>
      <c r="E1530" t="s">
        <v>20</v>
      </c>
      <c r="F1530" t="s">
        <v>22</v>
      </c>
      <c r="G1530">
        <v>111.27</v>
      </c>
      <c r="H1530">
        <v>7</v>
      </c>
      <c r="I1530">
        <v>83.86</v>
      </c>
      <c r="J1530">
        <v>1</v>
      </c>
      <c r="K1530">
        <v>-70.599999999999994</v>
      </c>
    </row>
    <row r="1531" spans="1:11" x14ac:dyDescent="0.3">
      <c r="A1531" s="1">
        <v>45072</v>
      </c>
      <c r="B1531" t="s">
        <v>11</v>
      </c>
      <c r="C1531" t="s">
        <v>12</v>
      </c>
      <c r="D1531" t="s">
        <v>13</v>
      </c>
      <c r="E1531" t="s">
        <v>14</v>
      </c>
      <c r="F1531" t="s">
        <v>16</v>
      </c>
      <c r="G1531">
        <v>177.99</v>
      </c>
      <c r="H1531">
        <v>17</v>
      </c>
      <c r="I1531">
        <v>1144.1300000000001</v>
      </c>
      <c r="J1531">
        <v>2</v>
      </c>
      <c r="K1531">
        <v>924.96</v>
      </c>
    </row>
    <row r="1532" spans="1:11" x14ac:dyDescent="0.3">
      <c r="A1532" s="1">
        <v>45239</v>
      </c>
      <c r="B1532" t="s">
        <v>23</v>
      </c>
      <c r="C1532" t="s">
        <v>18</v>
      </c>
      <c r="D1532" t="s">
        <v>13</v>
      </c>
      <c r="E1532" t="s">
        <v>14</v>
      </c>
      <c r="F1532" t="s">
        <v>15</v>
      </c>
      <c r="G1532">
        <v>159.27000000000001</v>
      </c>
      <c r="H1532">
        <v>4</v>
      </c>
      <c r="I1532">
        <v>128.41</v>
      </c>
      <c r="J1532">
        <v>3</v>
      </c>
      <c r="K1532">
        <v>-117.43</v>
      </c>
    </row>
    <row r="1533" spans="1:11" x14ac:dyDescent="0.3">
      <c r="A1533" s="1">
        <v>45175</v>
      </c>
      <c r="B1533" t="s">
        <v>23</v>
      </c>
      <c r="C1533" t="s">
        <v>24</v>
      </c>
      <c r="D1533" t="s">
        <v>13</v>
      </c>
      <c r="E1533" t="s">
        <v>14</v>
      </c>
      <c r="F1533" t="s">
        <v>26</v>
      </c>
      <c r="G1533">
        <v>91.9</v>
      </c>
      <c r="H1533">
        <v>15</v>
      </c>
      <c r="I1533">
        <v>808.94</v>
      </c>
      <c r="J1533">
        <v>2</v>
      </c>
      <c r="K1533">
        <v>622.22</v>
      </c>
    </row>
    <row r="1534" spans="1:11" x14ac:dyDescent="0.3">
      <c r="A1534" s="1">
        <v>45137</v>
      </c>
      <c r="B1534" t="s">
        <v>17</v>
      </c>
      <c r="C1534" t="s">
        <v>29</v>
      </c>
      <c r="D1534" t="s">
        <v>25</v>
      </c>
      <c r="E1534" t="s">
        <v>20</v>
      </c>
      <c r="F1534" t="s">
        <v>16</v>
      </c>
      <c r="G1534">
        <v>48.39</v>
      </c>
      <c r="H1534">
        <v>20</v>
      </c>
      <c r="I1534">
        <v>1393.21</v>
      </c>
      <c r="J1534">
        <v>0</v>
      </c>
      <c r="K1534">
        <v>1344.82</v>
      </c>
    </row>
    <row r="1535" spans="1:11" x14ac:dyDescent="0.3">
      <c r="A1535" s="1">
        <v>44988</v>
      </c>
      <c r="B1535" t="s">
        <v>11</v>
      </c>
      <c r="C1535" t="s">
        <v>29</v>
      </c>
      <c r="D1535" t="s">
        <v>25</v>
      </c>
      <c r="E1535" t="s">
        <v>20</v>
      </c>
      <c r="F1535" t="s">
        <v>22</v>
      </c>
      <c r="G1535">
        <v>9.76</v>
      </c>
      <c r="H1535">
        <v>16</v>
      </c>
      <c r="I1535">
        <v>972.07</v>
      </c>
      <c r="J1535">
        <v>1</v>
      </c>
      <c r="K1535">
        <v>922.31</v>
      </c>
    </row>
    <row r="1536" spans="1:11" x14ac:dyDescent="0.3">
      <c r="A1536" s="1">
        <v>45164</v>
      </c>
      <c r="B1536" t="s">
        <v>17</v>
      </c>
      <c r="C1536" t="s">
        <v>29</v>
      </c>
      <c r="D1536" t="s">
        <v>28</v>
      </c>
      <c r="E1536" t="s">
        <v>14</v>
      </c>
      <c r="F1536" t="s">
        <v>15</v>
      </c>
      <c r="G1536">
        <v>26.91</v>
      </c>
      <c r="H1536">
        <v>9</v>
      </c>
      <c r="I1536">
        <v>202.29</v>
      </c>
      <c r="J1536">
        <v>3</v>
      </c>
      <c r="K1536">
        <v>36.97</v>
      </c>
    </row>
    <row r="1537" spans="1:11" x14ac:dyDescent="0.3">
      <c r="A1537" s="1">
        <v>44949</v>
      </c>
      <c r="B1537" t="s">
        <v>21</v>
      </c>
      <c r="C1537" t="s">
        <v>18</v>
      </c>
      <c r="D1537" t="s">
        <v>27</v>
      </c>
      <c r="E1537" t="s">
        <v>20</v>
      </c>
      <c r="F1537" t="s">
        <v>15</v>
      </c>
      <c r="G1537">
        <v>58</v>
      </c>
      <c r="H1537">
        <v>4</v>
      </c>
      <c r="I1537">
        <v>53.86</v>
      </c>
      <c r="J1537">
        <v>2</v>
      </c>
      <c r="K1537">
        <v>-89.47</v>
      </c>
    </row>
    <row r="1538" spans="1:11" x14ac:dyDescent="0.3">
      <c r="A1538" s="1">
        <v>45000</v>
      </c>
      <c r="B1538" t="s">
        <v>11</v>
      </c>
      <c r="C1538" t="s">
        <v>18</v>
      </c>
      <c r="D1538" t="s">
        <v>27</v>
      </c>
      <c r="E1538" t="s">
        <v>14</v>
      </c>
      <c r="F1538" t="s">
        <v>26</v>
      </c>
      <c r="G1538">
        <v>197.16</v>
      </c>
      <c r="H1538">
        <v>20</v>
      </c>
      <c r="I1538">
        <v>1284.67</v>
      </c>
      <c r="J1538">
        <v>2</v>
      </c>
      <c r="K1538">
        <v>987.52</v>
      </c>
    </row>
    <row r="1539" spans="1:11" x14ac:dyDescent="0.3">
      <c r="A1539" s="1">
        <v>45133</v>
      </c>
      <c r="B1539" t="s">
        <v>17</v>
      </c>
      <c r="C1539" t="s">
        <v>18</v>
      </c>
      <c r="D1539" t="s">
        <v>25</v>
      </c>
      <c r="E1539" t="s">
        <v>14</v>
      </c>
      <c r="F1539" t="s">
        <v>15</v>
      </c>
      <c r="G1539">
        <v>128.43</v>
      </c>
      <c r="H1539">
        <v>7</v>
      </c>
      <c r="I1539">
        <v>649.69000000000005</v>
      </c>
      <c r="J1539">
        <v>1</v>
      </c>
      <c r="K1539">
        <v>481.25</v>
      </c>
    </row>
    <row r="1540" spans="1:11" x14ac:dyDescent="0.3">
      <c r="A1540" s="1">
        <v>45114</v>
      </c>
      <c r="B1540" t="s">
        <v>17</v>
      </c>
      <c r="C1540" t="s">
        <v>12</v>
      </c>
      <c r="D1540" t="s">
        <v>25</v>
      </c>
      <c r="E1540" t="s">
        <v>14</v>
      </c>
      <c r="F1540" t="s">
        <v>22</v>
      </c>
      <c r="G1540">
        <v>109.44</v>
      </c>
      <c r="H1540">
        <v>15</v>
      </c>
      <c r="I1540">
        <v>1128.6099999999999</v>
      </c>
      <c r="J1540">
        <v>2</v>
      </c>
      <c r="K1540">
        <v>920.04</v>
      </c>
    </row>
    <row r="1541" spans="1:11" x14ac:dyDescent="0.3">
      <c r="A1541" s="1">
        <v>44944</v>
      </c>
      <c r="B1541" t="s">
        <v>21</v>
      </c>
      <c r="C1541" t="s">
        <v>24</v>
      </c>
      <c r="D1541" t="s">
        <v>28</v>
      </c>
      <c r="E1541" t="s">
        <v>20</v>
      </c>
      <c r="F1541" t="s">
        <v>15</v>
      </c>
      <c r="G1541">
        <v>70.36</v>
      </c>
      <c r="H1541">
        <v>19</v>
      </c>
      <c r="I1541">
        <v>548.58000000000004</v>
      </c>
      <c r="J1541">
        <v>1</v>
      </c>
      <c r="K1541">
        <v>455.75</v>
      </c>
    </row>
    <row r="1542" spans="1:11" x14ac:dyDescent="0.3">
      <c r="A1542" s="1">
        <v>44939</v>
      </c>
      <c r="B1542" t="s">
        <v>21</v>
      </c>
      <c r="C1542" t="s">
        <v>18</v>
      </c>
      <c r="D1542" t="s">
        <v>19</v>
      </c>
      <c r="E1542" t="s">
        <v>14</v>
      </c>
      <c r="F1542" t="s">
        <v>26</v>
      </c>
      <c r="G1542">
        <v>189.22</v>
      </c>
      <c r="H1542">
        <v>16</v>
      </c>
      <c r="I1542">
        <v>306.37</v>
      </c>
      <c r="J1542">
        <v>1</v>
      </c>
      <c r="K1542">
        <v>83.9</v>
      </c>
    </row>
    <row r="1543" spans="1:11" x14ac:dyDescent="0.3">
      <c r="A1543" s="1">
        <v>45050</v>
      </c>
      <c r="B1543" t="s">
        <v>11</v>
      </c>
      <c r="C1543" t="s">
        <v>29</v>
      </c>
      <c r="D1543" t="s">
        <v>28</v>
      </c>
      <c r="E1543" t="s">
        <v>20</v>
      </c>
      <c r="F1543" t="s">
        <v>26</v>
      </c>
      <c r="G1543">
        <v>37.17</v>
      </c>
      <c r="H1543">
        <v>10</v>
      </c>
      <c r="I1543">
        <v>778.2</v>
      </c>
      <c r="J1543">
        <v>1</v>
      </c>
      <c r="K1543">
        <v>711.07</v>
      </c>
    </row>
    <row r="1544" spans="1:11" x14ac:dyDescent="0.3">
      <c r="A1544" s="1">
        <v>45208</v>
      </c>
      <c r="B1544" t="s">
        <v>23</v>
      </c>
      <c r="C1544" t="s">
        <v>29</v>
      </c>
      <c r="D1544" t="s">
        <v>19</v>
      </c>
      <c r="E1544" t="s">
        <v>14</v>
      </c>
      <c r="F1544" t="s">
        <v>16</v>
      </c>
      <c r="G1544">
        <v>116.71</v>
      </c>
      <c r="H1544">
        <v>8</v>
      </c>
      <c r="I1544">
        <v>266.58</v>
      </c>
      <c r="J1544">
        <v>3</v>
      </c>
      <c r="K1544">
        <v>53.22</v>
      </c>
    </row>
    <row r="1545" spans="1:11" x14ac:dyDescent="0.3">
      <c r="A1545" s="1">
        <v>44981</v>
      </c>
      <c r="B1545" t="s">
        <v>21</v>
      </c>
      <c r="C1545" t="s">
        <v>12</v>
      </c>
      <c r="D1545" t="s">
        <v>27</v>
      </c>
      <c r="E1545" t="s">
        <v>14</v>
      </c>
      <c r="F1545" t="s">
        <v>26</v>
      </c>
      <c r="G1545">
        <v>122.4</v>
      </c>
      <c r="H1545">
        <v>7</v>
      </c>
      <c r="I1545">
        <v>302.8</v>
      </c>
      <c r="J1545">
        <v>3</v>
      </c>
      <c r="K1545">
        <v>48.18</v>
      </c>
    </row>
    <row r="1546" spans="1:11" x14ac:dyDescent="0.3">
      <c r="A1546" s="1">
        <v>45045</v>
      </c>
      <c r="B1546" t="s">
        <v>11</v>
      </c>
      <c r="C1546" t="s">
        <v>24</v>
      </c>
      <c r="D1546" t="s">
        <v>19</v>
      </c>
      <c r="E1546" t="s">
        <v>20</v>
      </c>
      <c r="F1546" t="s">
        <v>15</v>
      </c>
      <c r="G1546">
        <v>110.29</v>
      </c>
      <c r="H1546">
        <v>14</v>
      </c>
      <c r="I1546">
        <v>320.8</v>
      </c>
      <c r="J1546">
        <v>0</v>
      </c>
      <c r="K1546">
        <v>210.51</v>
      </c>
    </row>
    <row r="1547" spans="1:11" x14ac:dyDescent="0.3">
      <c r="A1547" s="1">
        <v>45137</v>
      </c>
      <c r="B1547" t="s">
        <v>17</v>
      </c>
      <c r="C1547" t="s">
        <v>29</v>
      </c>
      <c r="D1547" t="s">
        <v>27</v>
      </c>
      <c r="E1547" t="s">
        <v>14</v>
      </c>
      <c r="F1547" t="s">
        <v>15</v>
      </c>
      <c r="G1547">
        <v>193.14</v>
      </c>
      <c r="H1547">
        <v>16</v>
      </c>
      <c r="I1547">
        <v>1436.92</v>
      </c>
      <c r="J1547">
        <v>2</v>
      </c>
      <c r="K1547">
        <v>1144.77</v>
      </c>
    </row>
    <row r="1548" spans="1:11" x14ac:dyDescent="0.3">
      <c r="A1548" s="1">
        <v>45101</v>
      </c>
      <c r="B1548" t="s">
        <v>17</v>
      </c>
      <c r="C1548" t="s">
        <v>29</v>
      </c>
      <c r="D1548" t="s">
        <v>13</v>
      </c>
      <c r="E1548" t="s">
        <v>20</v>
      </c>
      <c r="F1548" t="s">
        <v>26</v>
      </c>
      <c r="G1548">
        <v>25.47</v>
      </c>
      <c r="H1548">
        <v>3</v>
      </c>
      <c r="I1548">
        <v>66.98</v>
      </c>
      <c r="J1548">
        <v>1</v>
      </c>
      <c r="K1548">
        <v>21.53</v>
      </c>
    </row>
    <row r="1549" spans="1:11" x14ac:dyDescent="0.3">
      <c r="A1549" s="1">
        <v>45255</v>
      </c>
      <c r="B1549" t="s">
        <v>23</v>
      </c>
      <c r="C1549" t="s">
        <v>29</v>
      </c>
      <c r="D1549" t="s">
        <v>27</v>
      </c>
      <c r="E1549" t="s">
        <v>20</v>
      </c>
      <c r="F1549" t="s">
        <v>15</v>
      </c>
      <c r="G1549">
        <v>145.84</v>
      </c>
      <c r="H1549">
        <v>9</v>
      </c>
      <c r="I1549">
        <v>265.45</v>
      </c>
      <c r="J1549">
        <v>1</v>
      </c>
      <c r="K1549">
        <v>89.67</v>
      </c>
    </row>
    <row r="1550" spans="1:11" x14ac:dyDescent="0.3">
      <c r="A1550" s="1">
        <v>45088</v>
      </c>
      <c r="B1550" t="s">
        <v>17</v>
      </c>
      <c r="C1550" t="s">
        <v>18</v>
      </c>
      <c r="D1550" t="s">
        <v>25</v>
      </c>
      <c r="E1550" t="s">
        <v>14</v>
      </c>
      <c r="F1550" t="s">
        <v>22</v>
      </c>
      <c r="G1550">
        <v>29.83</v>
      </c>
      <c r="H1550">
        <v>14</v>
      </c>
      <c r="I1550">
        <v>1206.55</v>
      </c>
      <c r="J1550">
        <v>1</v>
      </c>
      <c r="K1550">
        <v>1143.68</v>
      </c>
    </row>
    <row r="1551" spans="1:11" x14ac:dyDescent="0.3">
      <c r="A1551" s="1">
        <v>45013</v>
      </c>
      <c r="B1551" t="s">
        <v>11</v>
      </c>
      <c r="C1551" t="s">
        <v>29</v>
      </c>
      <c r="D1551" t="s">
        <v>28</v>
      </c>
      <c r="E1551" t="s">
        <v>14</v>
      </c>
      <c r="F1551" t="s">
        <v>16</v>
      </c>
      <c r="G1551">
        <v>117.14</v>
      </c>
      <c r="H1551">
        <v>7</v>
      </c>
      <c r="I1551">
        <v>123.63</v>
      </c>
      <c r="J1551">
        <v>2</v>
      </c>
      <c r="K1551">
        <v>-73.290000000000006</v>
      </c>
    </row>
    <row r="1552" spans="1:11" x14ac:dyDescent="0.3">
      <c r="A1552" s="1">
        <v>45097</v>
      </c>
      <c r="B1552" t="s">
        <v>17</v>
      </c>
      <c r="C1552" t="s">
        <v>18</v>
      </c>
      <c r="D1552" t="s">
        <v>28</v>
      </c>
      <c r="E1552" t="s">
        <v>20</v>
      </c>
      <c r="F1552" t="s">
        <v>16</v>
      </c>
      <c r="G1552">
        <v>192.09</v>
      </c>
      <c r="H1552">
        <v>2</v>
      </c>
      <c r="I1552">
        <v>21.12</v>
      </c>
      <c r="J1552">
        <v>1</v>
      </c>
      <c r="K1552">
        <v>-180.52</v>
      </c>
    </row>
    <row r="1553" spans="1:11" x14ac:dyDescent="0.3">
      <c r="A1553" s="1">
        <v>45029</v>
      </c>
      <c r="B1553" t="s">
        <v>11</v>
      </c>
      <c r="C1553" t="s">
        <v>12</v>
      </c>
      <c r="D1553" t="s">
        <v>19</v>
      </c>
      <c r="E1553" t="s">
        <v>14</v>
      </c>
      <c r="F1553" t="s">
        <v>26</v>
      </c>
      <c r="G1553">
        <v>139.08000000000001</v>
      </c>
      <c r="H1553">
        <v>20</v>
      </c>
      <c r="I1553">
        <v>1007.46</v>
      </c>
      <c r="J1553">
        <v>3</v>
      </c>
      <c r="K1553">
        <v>841.62</v>
      </c>
    </row>
    <row r="1554" spans="1:11" x14ac:dyDescent="0.3">
      <c r="A1554" s="1">
        <v>45270</v>
      </c>
      <c r="B1554" t="s">
        <v>21</v>
      </c>
      <c r="C1554" t="s">
        <v>29</v>
      </c>
      <c r="D1554" t="s">
        <v>25</v>
      </c>
      <c r="E1554" t="s">
        <v>20</v>
      </c>
      <c r="F1554" t="s">
        <v>15</v>
      </c>
      <c r="G1554">
        <v>122.81</v>
      </c>
      <c r="H1554">
        <v>4</v>
      </c>
      <c r="I1554">
        <v>302.42</v>
      </c>
      <c r="J1554">
        <v>1</v>
      </c>
      <c r="K1554">
        <v>136.65</v>
      </c>
    </row>
    <row r="1555" spans="1:11" x14ac:dyDescent="0.3">
      <c r="A1555" s="1">
        <v>45225</v>
      </c>
      <c r="B1555" t="s">
        <v>23</v>
      </c>
      <c r="C1555" t="s">
        <v>29</v>
      </c>
      <c r="D1555" t="s">
        <v>19</v>
      </c>
      <c r="E1555" t="s">
        <v>14</v>
      </c>
      <c r="F1555" t="s">
        <v>15</v>
      </c>
      <c r="G1555">
        <v>186.97</v>
      </c>
      <c r="H1555">
        <v>7</v>
      </c>
      <c r="I1555">
        <v>506.62</v>
      </c>
      <c r="J1555">
        <v>3</v>
      </c>
      <c r="K1555">
        <v>211.92</v>
      </c>
    </row>
    <row r="1556" spans="1:11" x14ac:dyDescent="0.3">
      <c r="A1556" s="1">
        <v>45048</v>
      </c>
      <c r="B1556" t="s">
        <v>11</v>
      </c>
      <c r="C1556" t="s">
        <v>12</v>
      </c>
      <c r="D1556" t="s">
        <v>13</v>
      </c>
      <c r="E1556" t="s">
        <v>20</v>
      </c>
      <c r="F1556" t="s">
        <v>26</v>
      </c>
      <c r="G1556">
        <v>97.45</v>
      </c>
      <c r="H1556">
        <v>3</v>
      </c>
      <c r="I1556">
        <v>271.8</v>
      </c>
      <c r="J1556">
        <v>1</v>
      </c>
      <c r="K1556">
        <v>137.6</v>
      </c>
    </row>
    <row r="1557" spans="1:11" x14ac:dyDescent="0.3">
      <c r="A1557" s="1">
        <v>45143</v>
      </c>
      <c r="B1557" t="s">
        <v>17</v>
      </c>
      <c r="C1557" t="s">
        <v>18</v>
      </c>
      <c r="D1557" t="s">
        <v>28</v>
      </c>
      <c r="E1557" t="s">
        <v>20</v>
      </c>
      <c r="F1557" t="s">
        <v>15</v>
      </c>
      <c r="G1557">
        <v>15.51</v>
      </c>
      <c r="H1557">
        <v>7</v>
      </c>
      <c r="I1557">
        <v>77.34</v>
      </c>
      <c r="J1557">
        <v>1</v>
      </c>
      <c r="K1557">
        <v>43.33</v>
      </c>
    </row>
    <row r="1558" spans="1:11" x14ac:dyDescent="0.3">
      <c r="A1558" s="1">
        <v>44927</v>
      </c>
      <c r="B1558" t="s">
        <v>21</v>
      </c>
      <c r="C1558" t="s">
        <v>29</v>
      </c>
      <c r="D1558" t="s">
        <v>13</v>
      </c>
      <c r="E1558" t="s">
        <v>14</v>
      </c>
      <c r="F1558" t="s">
        <v>15</v>
      </c>
      <c r="G1558">
        <v>32.78</v>
      </c>
      <c r="H1558">
        <v>17</v>
      </c>
      <c r="I1558">
        <v>501.41</v>
      </c>
      <c r="J1558">
        <v>2</v>
      </c>
      <c r="K1558">
        <v>375.11</v>
      </c>
    </row>
    <row r="1559" spans="1:11" x14ac:dyDescent="0.3">
      <c r="A1559" s="1">
        <v>45235</v>
      </c>
      <c r="B1559" t="s">
        <v>23</v>
      </c>
      <c r="C1559" t="s">
        <v>12</v>
      </c>
      <c r="D1559" t="s">
        <v>27</v>
      </c>
      <c r="E1559" t="s">
        <v>14</v>
      </c>
      <c r="F1559" t="s">
        <v>22</v>
      </c>
      <c r="G1559">
        <v>68.44</v>
      </c>
      <c r="H1559">
        <v>14</v>
      </c>
      <c r="I1559">
        <v>1162.0999999999999</v>
      </c>
      <c r="J1559">
        <v>3</v>
      </c>
      <c r="K1559">
        <v>1052.27</v>
      </c>
    </row>
    <row r="1560" spans="1:11" x14ac:dyDescent="0.3">
      <c r="A1560" s="1">
        <v>44973</v>
      </c>
      <c r="B1560" t="s">
        <v>21</v>
      </c>
      <c r="C1560" t="s">
        <v>29</v>
      </c>
      <c r="D1560" t="s">
        <v>28</v>
      </c>
      <c r="E1560" t="s">
        <v>14</v>
      </c>
      <c r="F1560" t="s">
        <v>22</v>
      </c>
      <c r="G1560">
        <v>185.39</v>
      </c>
      <c r="H1560">
        <v>14</v>
      </c>
      <c r="I1560">
        <v>1125.28</v>
      </c>
      <c r="J1560">
        <v>0</v>
      </c>
      <c r="K1560">
        <v>939.89</v>
      </c>
    </row>
    <row r="1561" spans="1:11" x14ac:dyDescent="0.3">
      <c r="A1561" s="1">
        <v>45246</v>
      </c>
      <c r="B1561" t="s">
        <v>23</v>
      </c>
      <c r="C1561" t="s">
        <v>12</v>
      </c>
      <c r="D1561" t="s">
        <v>27</v>
      </c>
      <c r="E1561" t="s">
        <v>14</v>
      </c>
      <c r="F1561" t="s">
        <v>15</v>
      </c>
      <c r="G1561">
        <v>102.89</v>
      </c>
      <c r="H1561">
        <v>7</v>
      </c>
      <c r="I1561">
        <v>364.58</v>
      </c>
      <c r="J1561">
        <v>1</v>
      </c>
      <c r="K1561">
        <v>225.07</v>
      </c>
    </row>
    <row r="1562" spans="1:11" x14ac:dyDescent="0.3">
      <c r="A1562" s="1">
        <v>45049</v>
      </c>
      <c r="B1562" t="s">
        <v>11</v>
      </c>
      <c r="C1562" t="s">
        <v>18</v>
      </c>
      <c r="D1562" t="s">
        <v>28</v>
      </c>
      <c r="E1562" t="s">
        <v>14</v>
      </c>
      <c r="F1562" t="s">
        <v>22</v>
      </c>
      <c r="G1562">
        <v>89.14</v>
      </c>
      <c r="H1562">
        <v>13</v>
      </c>
      <c r="I1562">
        <v>503.52</v>
      </c>
      <c r="J1562">
        <v>0</v>
      </c>
      <c r="K1562">
        <v>414.38</v>
      </c>
    </row>
    <row r="1563" spans="1:11" x14ac:dyDescent="0.3">
      <c r="A1563" s="1">
        <v>45254</v>
      </c>
      <c r="B1563" t="s">
        <v>23</v>
      </c>
      <c r="C1563" t="s">
        <v>29</v>
      </c>
      <c r="D1563" t="s">
        <v>27</v>
      </c>
      <c r="E1563" t="s">
        <v>14</v>
      </c>
      <c r="F1563" t="s">
        <v>22</v>
      </c>
      <c r="G1563">
        <v>60.4</v>
      </c>
      <c r="H1563">
        <v>13</v>
      </c>
      <c r="I1563">
        <v>1231.8</v>
      </c>
      <c r="J1563">
        <v>1</v>
      </c>
      <c r="K1563">
        <v>1153.29</v>
      </c>
    </row>
    <row r="1564" spans="1:11" x14ac:dyDescent="0.3">
      <c r="A1564" s="1">
        <v>45279</v>
      </c>
      <c r="B1564" t="s">
        <v>21</v>
      </c>
      <c r="C1564" t="s">
        <v>24</v>
      </c>
      <c r="D1564" t="s">
        <v>19</v>
      </c>
      <c r="E1564" t="s">
        <v>14</v>
      </c>
      <c r="F1564" t="s">
        <v>26</v>
      </c>
      <c r="G1564">
        <v>104.64</v>
      </c>
      <c r="H1564">
        <v>18</v>
      </c>
      <c r="I1564">
        <v>1269.52</v>
      </c>
      <c r="J1564">
        <v>0</v>
      </c>
      <c r="K1564">
        <v>1164.8800000000001</v>
      </c>
    </row>
    <row r="1565" spans="1:11" x14ac:dyDescent="0.3">
      <c r="A1565" s="1">
        <v>44980</v>
      </c>
      <c r="B1565" t="s">
        <v>21</v>
      </c>
      <c r="C1565" t="s">
        <v>24</v>
      </c>
      <c r="D1565" t="s">
        <v>13</v>
      </c>
      <c r="E1565" t="s">
        <v>20</v>
      </c>
      <c r="F1565" t="s">
        <v>16</v>
      </c>
      <c r="G1565">
        <v>109.96</v>
      </c>
      <c r="H1565">
        <v>11</v>
      </c>
      <c r="I1565">
        <v>221.96</v>
      </c>
      <c r="J1565">
        <v>3</v>
      </c>
      <c r="K1565">
        <v>-12.33</v>
      </c>
    </row>
    <row r="1566" spans="1:11" x14ac:dyDescent="0.3">
      <c r="A1566" s="1">
        <v>44964</v>
      </c>
      <c r="B1566" t="s">
        <v>21</v>
      </c>
      <c r="C1566" t="s">
        <v>18</v>
      </c>
      <c r="D1566" t="s">
        <v>28</v>
      </c>
      <c r="E1566" t="s">
        <v>20</v>
      </c>
      <c r="F1566" t="s">
        <v>16</v>
      </c>
      <c r="G1566">
        <v>60.16</v>
      </c>
      <c r="H1566">
        <v>9</v>
      </c>
      <c r="I1566">
        <v>412.3</v>
      </c>
      <c r="J1566">
        <v>2</v>
      </c>
      <c r="K1566">
        <v>302.41000000000003</v>
      </c>
    </row>
    <row r="1567" spans="1:11" x14ac:dyDescent="0.3">
      <c r="A1567" s="1">
        <v>45086</v>
      </c>
      <c r="B1567" t="s">
        <v>17</v>
      </c>
      <c r="C1567" t="s">
        <v>12</v>
      </c>
      <c r="D1567" t="s">
        <v>28</v>
      </c>
      <c r="E1567" t="s">
        <v>14</v>
      </c>
      <c r="F1567" t="s">
        <v>15</v>
      </c>
      <c r="G1567">
        <v>66.599999999999994</v>
      </c>
      <c r="H1567">
        <v>18</v>
      </c>
      <c r="I1567">
        <v>915.06</v>
      </c>
      <c r="J1567">
        <v>1</v>
      </c>
      <c r="K1567">
        <v>829.89</v>
      </c>
    </row>
    <row r="1568" spans="1:11" x14ac:dyDescent="0.3">
      <c r="A1568" s="1">
        <v>45232</v>
      </c>
      <c r="B1568" t="s">
        <v>23</v>
      </c>
      <c r="C1568" t="s">
        <v>18</v>
      </c>
      <c r="D1568" t="s">
        <v>25</v>
      </c>
      <c r="E1568" t="s">
        <v>20</v>
      </c>
      <c r="F1568" t="s">
        <v>22</v>
      </c>
      <c r="G1568">
        <v>119.67</v>
      </c>
      <c r="H1568">
        <v>10</v>
      </c>
      <c r="I1568">
        <v>135.47999999999999</v>
      </c>
      <c r="J1568">
        <v>1</v>
      </c>
      <c r="K1568">
        <v>-9.5299999999999994</v>
      </c>
    </row>
    <row r="1569" spans="1:11" x14ac:dyDescent="0.3">
      <c r="A1569" s="1">
        <v>45039</v>
      </c>
      <c r="B1569" t="s">
        <v>11</v>
      </c>
      <c r="C1569" t="s">
        <v>12</v>
      </c>
      <c r="D1569" t="s">
        <v>27</v>
      </c>
      <c r="E1569" t="s">
        <v>20</v>
      </c>
      <c r="F1569" t="s">
        <v>22</v>
      </c>
      <c r="G1569">
        <v>89.79</v>
      </c>
      <c r="H1569">
        <v>11</v>
      </c>
      <c r="I1569">
        <v>593.69000000000005</v>
      </c>
      <c r="J1569">
        <v>2</v>
      </c>
      <c r="K1569">
        <v>441.75</v>
      </c>
    </row>
    <row r="1570" spans="1:11" x14ac:dyDescent="0.3">
      <c r="A1570" s="1">
        <v>45071</v>
      </c>
      <c r="B1570" t="s">
        <v>11</v>
      </c>
      <c r="C1570" t="s">
        <v>12</v>
      </c>
      <c r="D1570" t="s">
        <v>19</v>
      </c>
      <c r="E1570" t="s">
        <v>20</v>
      </c>
      <c r="F1570" t="s">
        <v>26</v>
      </c>
      <c r="G1570">
        <v>145.88</v>
      </c>
      <c r="H1570">
        <v>12</v>
      </c>
      <c r="I1570">
        <v>128.85</v>
      </c>
      <c r="J1570">
        <v>0</v>
      </c>
      <c r="K1570">
        <v>-17.03</v>
      </c>
    </row>
    <row r="1571" spans="1:11" x14ac:dyDescent="0.3">
      <c r="A1571" s="1">
        <v>45238</v>
      </c>
      <c r="B1571" t="s">
        <v>23</v>
      </c>
      <c r="C1571" t="s">
        <v>18</v>
      </c>
      <c r="D1571" t="s">
        <v>19</v>
      </c>
      <c r="E1571" t="s">
        <v>20</v>
      </c>
      <c r="F1571" t="s">
        <v>16</v>
      </c>
      <c r="G1571">
        <v>14.23</v>
      </c>
      <c r="H1571">
        <v>14</v>
      </c>
      <c r="I1571">
        <v>740.81</v>
      </c>
      <c r="J1571">
        <v>0</v>
      </c>
      <c r="K1571">
        <v>726.58</v>
      </c>
    </row>
    <row r="1572" spans="1:11" x14ac:dyDescent="0.3">
      <c r="A1572" s="1">
        <v>45284</v>
      </c>
      <c r="B1572" t="s">
        <v>21</v>
      </c>
      <c r="C1572" t="s">
        <v>12</v>
      </c>
      <c r="D1572" t="s">
        <v>25</v>
      </c>
      <c r="E1572" t="s">
        <v>14</v>
      </c>
      <c r="F1572" t="s">
        <v>26</v>
      </c>
      <c r="G1572">
        <v>143.27000000000001</v>
      </c>
      <c r="H1572">
        <v>17</v>
      </c>
      <c r="I1572">
        <v>835.91</v>
      </c>
      <c r="J1572">
        <v>0</v>
      </c>
      <c r="K1572">
        <v>692.64</v>
      </c>
    </row>
    <row r="1573" spans="1:11" x14ac:dyDescent="0.3">
      <c r="A1573" s="1">
        <v>44928</v>
      </c>
      <c r="B1573" t="s">
        <v>21</v>
      </c>
      <c r="C1573" t="s">
        <v>29</v>
      </c>
      <c r="D1573" t="s">
        <v>19</v>
      </c>
      <c r="E1573" t="s">
        <v>14</v>
      </c>
      <c r="F1573" t="s">
        <v>22</v>
      </c>
      <c r="G1573">
        <v>64.569999999999993</v>
      </c>
      <c r="H1573">
        <v>15</v>
      </c>
      <c r="I1573">
        <v>1165.1400000000001</v>
      </c>
      <c r="J1573">
        <v>2</v>
      </c>
      <c r="K1573">
        <v>1030.6300000000001</v>
      </c>
    </row>
    <row r="1574" spans="1:11" x14ac:dyDescent="0.3">
      <c r="A1574" s="1">
        <v>45275</v>
      </c>
      <c r="B1574" t="s">
        <v>21</v>
      </c>
      <c r="C1574" t="s">
        <v>18</v>
      </c>
      <c r="D1574" t="s">
        <v>19</v>
      </c>
      <c r="E1574" t="s">
        <v>20</v>
      </c>
      <c r="F1574" t="s">
        <v>26</v>
      </c>
      <c r="G1574">
        <v>174.95</v>
      </c>
      <c r="H1574">
        <v>18</v>
      </c>
      <c r="I1574">
        <v>705.36</v>
      </c>
      <c r="J1574">
        <v>3</v>
      </c>
      <c r="K1574">
        <v>502.9</v>
      </c>
    </row>
    <row r="1575" spans="1:11" x14ac:dyDescent="0.3">
      <c r="A1575" s="1">
        <v>45239</v>
      </c>
      <c r="B1575" t="s">
        <v>23</v>
      </c>
      <c r="C1575" t="s">
        <v>24</v>
      </c>
      <c r="D1575" t="s">
        <v>28</v>
      </c>
      <c r="E1575" t="s">
        <v>14</v>
      </c>
      <c r="F1575" t="s">
        <v>16</v>
      </c>
      <c r="G1575">
        <v>54.35</v>
      </c>
      <c r="H1575">
        <v>13</v>
      </c>
      <c r="I1575">
        <v>402.61</v>
      </c>
      <c r="J1575">
        <v>0</v>
      </c>
      <c r="K1575">
        <v>348.26</v>
      </c>
    </row>
    <row r="1576" spans="1:11" x14ac:dyDescent="0.3">
      <c r="A1576" s="1">
        <v>45109</v>
      </c>
      <c r="B1576" t="s">
        <v>17</v>
      </c>
      <c r="C1576" t="s">
        <v>29</v>
      </c>
      <c r="D1576" t="s">
        <v>25</v>
      </c>
      <c r="E1576" t="s">
        <v>20</v>
      </c>
      <c r="F1576" t="s">
        <v>26</v>
      </c>
      <c r="G1576">
        <v>84.61</v>
      </c>
      <c r="H1576">
        <v>13</v>
      </c>
      <c r="I1576">
        <v>341.55</v>
      </c>
      <c r="J1576">
        <v>0</v>
      </c>
      <c r="K1576">
        <v>256.94</v>
      </c>
    </row>
    <row r="1577" spans="1:11" x14ac:dyDescent="0.3">
      <c r="A1577" s="1">
        <v>44948</v>
      </c>
      <c r="B1577" t="s">
        <v>21</v>
      </c>
      <c r="C1577" t="s">
        <v>24</v>
      </c>
      <c r="D1577" t="s">
        <v>19</v>
      </c>
      <c r="E1577" t="s">
        <v>20</v>
      </c>
      <c r="F1577" t="s">
        <v>22</v>
      </c>
      <c r="G1577">
        <v>21.71</v>
      </c>
      <c r="H1577">
        <v>8</v>
      </c>
      <c r="I1577">
        <v>145.81</v>
      </c>
      <c r="J1577">
        <v>2</v>
      </c>
      <c r="K1577">
        <v>89.69</v>
      </c>
    </row>
    <row r="1578" spans="1:11" x14ac:dyDescent="0.3">
      <c r="A1578" s="1">
        <v>45074</v>
      </c>
      <c r="B1578" t="s">
        <v>11</v>
      </c>
      <c r="C1578" t="s">
        <v>18</v>
      </c>
      <c r="D1578" t="s">
        <v>25</v>
      </c>
      <c r="E1578" t="s">
        <v>14</v>
      </c>
      <c r="F1578" t="s">
        <v>15</v>
      </c>
      <c r="G1578">
        <v>30.18</v>
      </c>
      <c r="H1578">
        <v>2</v>
      </c>
      <c r="I1578">
        <v>153.77000000000001</v>
      </c>
      <c r="J1578">
        <v>1</v>
      </c>
      <c r="K1578">
        <v>116.07</v>
      </c>
    </row>
    <row r="1579" spans="1:11" x14ac:dyDescent="0.3">
      <c r="A1579" s="1">
        <v>45100</v>
      </c>
      <c r="B1579" t="s">
        <v>17</v>
      </c>
      <c r="C1579" t="s">
        <v>24</v>
      </c>
      <c r="D1579" t="s">
        <v>25</v>
      </c>
      <c r="E1579" t="s">
        <v>20</v>
      </c>
      <c r="F1579" t="s">
        <v>22</v>
      </c>
      <c r="G1579">
        <v>67.06</v>
      </c>
      <c r="H1579">
        <v>8</v>
      </c>
      <c r="I1579">
        <v>657.38</v>
      </c>
      <c r="J1579">
        <v>1</v>
      </c>
      <c r="K1579">
        <v>555.95000000000005</v>
      </c>
    </row>
    <row r="1580" spans="1:11" x14ac:dyDescent="0.3">
      <c r="A1580" s="1">
        <v>45030</v>
      </c>
      <c r="B1580" t="s">
        <v>11</v>
      </c>
      <c r="C1580" t="s">
        <v>18</v>
      </c>
      <c r="D1580" t="s">
        <v>27</v>
      </c>
      <c r="E1580" t="s">
        <v>20</v>
      </c>
      <c r="F1580" t="s">
        <v>26</v>
      </c>
      <c r="G1580">
        <v>113.12</v>
      </c>
      <c r="H1580">
        <v>9</v>
      </c>
      <c r="I1580">
        <v>749.04</v>
      </c>
      <c r="J1580">
        <v>3</v>
      </c>
      <c r="K1580">
        <v>586.92999999999995</v>
      </c>
    </row>
    <row r="1581" spans="1:11" x14ac:dyDescent="0.3">
      <c r="A1581" s="1">
        <v>45085</v>
      </c>
      <c r="B1581" t="s">
        <v>17</v>
      </c>
      <c r="C1581" t="s">
        <v>24</v>
      </c>
      <c r="D1581" t="s">
        <v>28</v>
      </c>
      <c r="E1581" t="s">
        <v>20</v>
      </c>
      <c r="F1581" t="s">
        <v>15</v>
      </c>
      <c r="G1581">
        <v>184.34</v>
      </c>
      <c r="H1581">
        <v>20</v>
      </c>
      <c r="I1581">
        <v>727.01</v>
      </c>
      <c r="J1581">
        <v>0</v>
      </c>
      <c r="K1581">
        <v>542.66999999999996</v>
      </c>
    </row>
    <row r="1582" spans="1:11" x14ac:dyDescent="0.3">
      <c r="A1582" s="1">
        <v>44984</v>
      </c>
      <c r="B1582" t="s">
        <v>21</v>
      </c>
      <c r="C1582" t="s">
        <v>29</v>
      </c>
      <c r="D1582" t="s">
        <v>19</v>
      </c>
      <c r="E1582" t="s">
        <v>20</v>
      </c>
      <c r="F1582" t="s">
        <v>26</v>
      </c>
      <c r="G1582">
        <v>170.59</v>
      </c>
      <c r="H1582">
        <v>5</v>
      </c>
      <c r="I1582">
        <v>411.39</v>
      </c>
      <c r="J1582">
        <v>1</v>
      </c>
      <c r="K1582">
        <v>217.08</v>
      </c>
    </row>
    <row r="1583" spans="1:11" x14ac:dyDescent="0.3">
      <c r="A1583" s="1">
        <v>45113</v>
      </c>
      <c r="B1583" t="s">
        <v>17</v>
      </c>
      <c r="C1583" t="s">
        <v>12</v>
      </c>
      <c r="D1583" t="s">
        <v>27</v>
      </c>
      <c r="E1583" t="s">
        <v>20</v>
      </c>
      <c r="F1583" t="s">
        <v>22</v>
      </c>
      <c r="G1583">
        <v>125.08</v>
      </c>
      <c r="H1583">
        <v>7</v>
      </c>
      <c r="I1583">
        <v>541.04999999999995</v>
      </c>
      <c r="J1583">
        <v>1</v>
      </c>
      <c r="K1583">
        <v>395.71</v>
      </c>
    </row>
    <row r="1584" spans="1:11" x14ac:dyDescent="0.3">
      <c r="A1584" s="1">
        <v>45075</v>
      </c>
      <c r="B1584" t="s">
        <v>11</v>
      </c>
      <c r="C1584" t="s">
        <v>24</v>
      </c>
      <c r="D1584" t="s">
        <v>19</v>
      </c>
      <c r="E1584" t="s">
        <v>14</v>
      </c>
      <c r="F1584" t="s">
        <v>26</v>
      </c>
      <c r="G1584">
        <v>198.3</v>
      </c>
      <c r="H1584">
        <v>17</v>
      </c>
      <c r="I1584">
        <v>1600.7</v>
      </c>
      <c r="J1584">
        <v>1</v>
      </c>
      <c r="K1584">
        <v>1354.16</v>
      </c>
    </row>
    <row r="1585" spans="1:11" x14ac:dyDescent="0.3">
      <c r="A1585" s="1">
        <v>45068</v>
      </c>
      <c r="B1585" t="s">
        <v>11</v>
      </c>
      <c r="C1585" t="s">
        <v>29</v>
      </c>
      <c r="D1585" t="s">
        <v>28</v>
      </c>
      <c r="E1585" t="s">
        <v>20</v>
      </c>
      <c r="F1585" t="s">
        <v>15</v>
      </c>
      <c r="G1585">
        <v>74.510000000000005</v>
      </c>
      <c r="H1585">
        <v>1</v>
      </c>
      <c r="I1585">
        <v>67.62</v>
      </c>
      <c r="J1585">
        <v>1</v>
      </c>
      <c r="K1585">
        <v>-20.170000000000002</v>
      </c>
    </row>
    <row r="1586" spans="1:11" x14ac:dyDescent="0.3">
      <c r="A1586" s="1">
        <v>45246</v>
      </c>
      <c r="B1586" t="s">
        <v>23</v>
      </c>
      <c r="C1586" t="s">
        <v>24</v>
      </c>
      <c r="D1586" t="s">
        <v>13</v>
      </c>
      <c r="E1586" t="s">
        <v>20</v>
      </c>
      <c r="F1586" t="s">
        <v>26</v>
      </c>
      <c r="G1586">
        <v>118.99</v>
      </c>
      <c r="H1586">
        <v>18</v>
      </c>
      <c r="I1586">
        <v>1165.33</v>
      </c>
      <c r="J1586">
        <v>1</v>
      </c>
      <c r="K1586">
        <v>997.43</v>
      </c>
    </row>
    <row r="1587" spans="1:11" x14ac:dyDescent="0.3">
      <c r="A1587" s="1">
        <v>44976</v>
      </c>
      <c r="B1587" t="s">
        <v>21</v>
      </c>
      <c r="C1587" t="s">
        <v>24</v>
      </c>
      <c r="D1587" t="s">
        <v>19</v>
      </c>
      <c r="E1587" t="s">
        <v>20</v>
      </c>
      <c r="F1587" t="s">
        <v>22</v>
      </c>
      <c r="G1587">
        <v>139.16999999999999</v>
      </c>
      <c r="H1587">
        <v>2</v>
      </c>
      <c r="I1587">
        <v>45.25</v>
      </c>
      <c r="J1587">
        <v>1</v>
      </c>
      <c r="K1587">
        <v>-127.99</v>
      </c>
    </row>
    <row r="1588" spans="1:11" x14ac:dyDescent="0.3">
      <c r="A1588" s="1">
        <v>45120</v>
      </c>
      <c r="B1588" t="s">
        <v>17</v>
      </c>
      <c r="C1588" t="s">
        <v>24</v>
      </c>
      <c r="D1588" t="s">
        <v>28</v>
      </c>
      <c r="E1588" t="s">
        <v>14</v>
      </c>
      <c r="F1588" t="s">
        <v>15</v>
      </c>
      <c r="G1588">
        <v>19.649999999999999</v>
      </c>
      <c r="H1588">
        <v>11</v>
      </c>
      <c r="I1588">
        <v>213.32</v>
      </c>
      <c r="J1588">
        <v>0</v>
      </c>
      <c r="K1588">
        <v>193.67</v>
      </c>
    </row>
    <row r="1589" spans="1:11" x14ac:dyDescent="0.3">
      <c r="A1589" s="1">
        <v>45192</v>
      </c>
      <c r="B1589" t="s">
        <v>23</v>
      </c>
      <c r="C1589" t="s">
        <v>29</v>
      </c>
      <c r="D1589" t="s">
        <v>13</v>
      </c>
      <c r="E1589" t="s">
        <v>20</v>
      </c>
      <c r="F1589" t="s">
        <v>26</v>
      </c>
      <c r="G1589">
        <v>119.68</v>
      </c>
      <c r="H1589">
        <v>2</v>
      </c>
      <c r="I1589">
        <v>147.13999999999999</v>
      </c>
      <c r="J1589">
        <v>1</v>
      </c>
      <c r="K1589">
        <v>-19.27</v>
      </c>
    </row>
    <row r="1590" spans="1:11" x14ac:dyDescent="0.3">
      <c r="A1590" s="1">
        <v>45073</v>
      </c>
      <c r="B1590" t="s">
        <v>11</v>
      </c>
      <c r="C1590" t="s">
        <v>18</v>
      </c>
      <c r="D1590" t="s">
        <v>27</v>
      </c>
      <c r="E1590" t="s">
        <v>14</v>
      </c>
      <c r="F1590" t="s">
        <v>26</v>
      </c>
      <c r="G1590">
        <v>64.959999999999994</v>
      </c>
      <c r="H1590">
        <v>5</v>
      </c>
      <c r="I1590">
        <v>462.5</v>
      </c>
      <c r="J1590">
        <v>0</v>
      </c>
      <c r="K1590">
        <v>397.54</v>
      </c>
    </row>
    <row r="1591" spans="1:11" x14ac:dyDescent="0.3">
      <c r="A1591" s="1">
        <v>45205</v>
      </c>
      <c r="B1591" t="s">
        <v>23</v>
      </c>
      <c r="C1591" t="s">
        <v>24</v>
      </c>
      <c r="D1591" t="s">
        <v>13</v>
      </c>
      <c r="E1591" t="s">
        <v>20</v>
      </c>
      <c r="F1591" t="s">
        <v>22</v>
      </c>
      <c r="G1591">
        <v>140.51</v>
      </c>
      <c r="H1591">
        <v>3</v>
      </c>
      <c r="I1591">
        <v>126.53</v>
      </c>
      <c r="J1591">
        <v>0</v>
      </c>
      <c r="K1591">
        <v>-13.98</v>
      </c>
    </row>
    <row r="1592" spans="1:11" x14ac:dyDescent="0.3">
      <c r="A1592" s="1">
        <v>45055</v>
      </c>
      <c r="B1592" t="s">
        <v>11</v>
      </c>
      <c r="C1592" t="s">
        <v>18</v>
      </c>
      <c r="D1592" t="s">
        <v>28</v>
      </c>
      <c r="E1592" t="s">
        <v>14</v>
      </c>
      <c r="F1592" t="s">
        <v>22</v>
      </c>
      <c r="G1592">
        <v>61.24</v>
      </c>
      <c r="H1592">
        <v>4</v>
      </c>
      <c r="I1592">
        <v>132.74</v>
      </c>
      <c r="J1592">
        <v>2</v>
      </c>
      <c r="K1592">
        <v>-22.55</v>
      </c>
    </row>
    <row r="1593" spans="1:11" x14ac:dyDescent="0.3">
      <c r="A1593" s="1">
        <v>45063</v>
      </c>
      <c r="B1593" t="s">
        <v>11</v>
      </c>
      <c r="C1593" t="s">
        <v>29</v>
      </c>
      <c r="D1593" t="s">
        <v>28</v>
      </c>
      <c r="E1593" t="s">
        <v>14</v>
      </c>
      <c r="F1593" t="s">
        <v>16</v>
      </c>
      <c r="G1593">
        <v>197.8</v>
      </c>
      <c r="H1593">
        <v>3</v>
      </c>
      <c r="I1593">
        <v>195.26</v>
      </c>
      <c r="J1593">
        <v>2</v>
      </c>
      <c r="K1593">
        <v>-89.39</v>
      </c>
    </row>
    <row r="1594" spans="1:11" x14ac:dyDescent="0.3">
      <c r="A1594" s="1">
        <v>44953</v>
      </c>
      <c r="B1594" t="s">
        <v>21</v>
      </c>
      <c r="C1594" t="s">
        <v>12</v>
      </c>
      <c r="D1594" t="s">
        <v>19</v>
      </c>
      <c r="E1594" t="s">
        <v>14</v>
      </c>
      <c r="F1594" t="s">
        <v>22</v>
      </c>
      <c r="G1594">
        <v>166.02</v>
      </c>
      <c r="H1594">
        <v>3</v>
      </c>
      <c r="I1594">
        <v>148.37</v>
      </c>
      <c r="J1594">
        <v>3</v>
      </c>
      <c r="K1594">
        <v>-57.19</v>
      </c>
    </row>
    <row r="1595" spans="1:11" x14ac:dyDescent="0.3">
      <c r="A1595" s="1">
        <v>45167</v>
      </c>
      <c r="B1595" t="s">
        <v>17</v>
      </c>
      <c r="C1595" t="s">
        <v>12</v>
      </c>
      <c r="D1595" t="s">
        <v>28</v>
      </c>
      <c r="E1595" t="s">
        <v>20</v>
      </c>
      <c r="F1595" t="s">
        <v>15</v>
      </c>
      <c r="G1595">
        <v>166.87</v>
      </c>
      <c r="H1595">
        <v>14</v>
      </c>
      <c r="I1595">
        <v>783.29</v>
      </c>
      <c r="J1595">
        <v>2</v>
      </c>
      <c r="K1595">
        <v>536.46</v>
      </c>
    </row>
    <row r="1596" spans="1:11" x14ac:dyDescent="0.3">
      <c r="A1596" s="1">
        <v>45252</v>
      </c>
      <c r="B1596" t="s">
        <v>23</v>
      </c>
      <c r="C1596" t="s">
        <v>18</v>
      </c>
      <c r="D1596" t="s">
        <v>27</v>
      </c>
      <c r="E1596" t="s">
        <v>20</v>
      </c>
      <c r="F1596" t="s">
        <v>22</v>
      </c>
      <c r="G1596">
        <v>167.72</v>
      </c>
      <c r="H1596">
        <v>10</v>
      </c>
      <c r="I1596">
        <v>400.78</v>
      </c>
      <c r="J1596">
        <v>2</v>
      </c>
      <c r="K1596">
        <v>148.01</v>
      </c>
    </row>
    <row r="1597" spans="1:11" x14ac:dyDescent="0.3">
      <c r="A1597" s="1">
        <v>45195</v>
      </c>
      <c r="B1597" t="s">
        <v>23</v>
      </c>
      <c r="C1597" t="s">
        <v>18</v>
      </c>
      <c r="D1597" t="s">
        <v>13</v>
      </c>
      <c r="E1597" t="s">
        <v>14</v>
      </c>
      <c r="F1597" t="s">
        <v>26</v>
      </c>
      <c r="G1597">
        <v>147.16999999999999</v>
      </c>
      <c r="H1597">
        <v>11</v>
      </c>
      <c r="I1597">
        <v>742.56</v>
      </c>
      <c r="J1597">
        <v>2</v>
      </c>
      <c r="K1597">
        <v>502.27</v>
      </c>
    </row>
    <row r="1598" spans="1:11" x14ac:dyDescent="0.3">
      <c r="A1598" s="1">
        <v>45222</v>
      </c>
      <c r="B1598" t="s">
        <v>23</v>
      </c>
      <c r="C1598" t="s">
        <v>29</v>
      </c>
      <c r="D1598" t="s">
        <v>13</v>
      </c>
      <c r="E1598" t="s">
        <v>20</v>
      </c>
      <c r="F1598" t="s">
        <v>22</v>
      </c>
      <c r="G1598">
        <v>45.11</v>
      </c>
      <c r="H1598">
        <v>3</v>
      </c>
      <c r="I1598">
        <v>37.49</v>
      </c>
      <c r="J1598">
        <v>3</v>
      </c>
      <c r="K1598">
        <v>-74.77</v>
      </c>
    </row>
    <row r="1599" spans="1:11" x14ac:dyDescent="0.3">
      <c r="A1599" s="1">
        <v>45125</v>
      </c>
      <c r="B1599" t="s">
        <v>17</v>
      </c>
      <c r="C1599" t="s">
        <v>29</v>
      </c>
      <c r="D1599" t="s">
        <v>27</v>
      </c>
      <c r="E1599" t="s">
        <v>14</v>
      </c>
      <c r="F1599" t="s">
        <v>26</v>
      </c>
      <c r="G1599">
        <v>43.74</v>
      </c>
      <c r="H1599">
        <v>9</v>
      </c>
      <c r="I1599">
        <v>176.82</v>
      </c>
      <c r="J1599">
        <v>1</v>
      </c>
      <c r="K1599">
        <v>87.99</v>
      </c>
    </row>
    <row r="1600" spans="1:11" x14ac:dyDescent="0.3">
      <c r="A1600" s="1">
        <v>45233</v>
      </c>
      <c r="B1600" t="s">
        <v>23</v>
      </c>
      <c r="C1600" t="s">
        <v>29</v>
      </c>
      <c r="D1600" t="s">
        <v>27</v>
      </c>
      <c r="E1600" t="s">
        <v>20</v>
      </c>
      <c r="F1600" t="s">
        <v>26</v>
      </c>
      <c r="G1600">
        <v>75.989999999999995</v>
      </c>
      <c r="H1600">
        <v>3</v>
      </c>
      <c r="I1600">
        <v>189.52</v>
      </c>
      <c r="J1600">
        <v>1</v>
      </c>
      <c r="K1600">
        <v>79.209999999999994</v>
      </c>
    </row>
    <row r="1601" spans="1:11" x14ac:dyDescent="0.3">
      <c r="A1601" s="1">
        <v>44969</v>
      </c>
      <c r="B1601" t="s">
        <v>21</v>
      </c>
      <c r="C1601" t="s">
        <v>12</v>
      </c>
      <c r="D1601" t="s">
        <v>27</v>
      </c>
      <c r="E1601" t="s">
        <v>14</v>
      </c>
      <c r="F1601" t="s">
        <v>15</v>
      </c>
      <c r="G1601">
        <v>174</v>
      </c>
      <c r="H1601">
        <v>7</v>
      </c>
      <c r="I1601">
        <v>374.91</v>
      </c>
      <c r="J1601">
        <v>1</v>
      </c>
      <c r="K1601">
        <v>182.36</v>
      </c>
    </row>
    <row r="1602" spans="1:11" x14ac:dyDescent="0.3">
      <c r="A1602" s="1">
        <v>45164</v>
      </c>
      <c r="B1602" t="s">
        <v>17</v>
      </c>
      <c r="C1602" t="s">
        <v>24</v>
      </c>
      <c r="D1602" t="s">
        <v>13</v>
      </c>
      <c r="E1602" t="s">
        <v>20</v>
      </c>
      <c r="F1602" t="s">
        <v>22</v>
      </c>
      <c r="G1602">
        <v>68.97</v>
      </c>
      <c r="H1602">
        <v>20</v>
      </c>
      <c r="I1602">
        <v>1352.04</v>
      </c>
      <c r="J1602">
        <v>3</v>
      </c>
      <c r="K1602">
        <v>1138.18</v>
      </c>
    </row>
    <row r="1603" spans="1:11" x14ac:dyDescent="0.3">
      <c r="A1603" s="1">
        <v>45162</v>
      </c>
      <c r="B1603" t="s">
        <v>17</v>
      </c>
      <c r="C1603" t="s">
        <v>18</v>
      </c>
      <c r="D1603" t="s">
        <v>19</v>
      </c>
      <c r="E1603" t="s">
        <v>14</v>
      </c>
      <c r="F1603" t="s">
        <v>26</v>
      </c>
      <c r="G1603">
        <v>81.66</v>
      </c>
      <c r="H1603">
        <v>8</v>
      </c>
      <c r="I1603">
        <v>249.62</v>
      </c>
      <c r="J1603">
        <v>0</v>
      </c>
      <c r="K1603">
        <v>167.96</v>
      </c>
    </row>
    <row r="1604" spans="1:11" x14ac:dyDescent="0.3">
      <c r="A1604" s="1">
        <v>45073</v>
      </c>
      <c r="B1604" t="s">
        <v>11</v>
      </c>
      <c r="C1604" t="s">
        <v>29</v>
      </c>
      <c r="D1604" t="s">
        <v>13</v>
      </c>
      <c r="E1604" t="s">
        <v>14</v>
      </c>
      <c r="F1604" t="s">
        <v>22</v>
      </c>
      <c r="G1604">
        <v>145.94</v>
      </c>
      <c r="H1604">
        <v>20</v>
      </c>
      <c r="I1604">
        <v>1148.01</v>
      </c>
      <c r="J1604">
        <v>1</v>
      </c>
      <c r="K1604">
        <v>977.61</v>
      </c>
    </row>
    <row r="1605" spans="1:11" x14ac:dyDescent="0.3">
      <c r="A1605" s="1">
        <v>45200</v>
      </c>
      <c r="B1605" t="s">
        <v>23</v>
      </c>
      <c r="C1605" t="s">
        <v>24</v>
      </c>
      <c r="D1605" t="s">
        <v>27</v>
      </c>
      <c r="E1605" t="s">
        <v>14</v>
      </c>
      <c r="F1605" t="s">
        <v>16</v>
      </c>
      <c r="G1605">
        <v>38.21</v>
      </c>
      <c r="H1605">
        <v>3</v>
      </c>
      <c r="I1605">
        <v>270.04000000000002</v>
      </c>
      <c r="J1605">
        <v>0</v>
      </c>
      <c r="K1605">
        <v>231.83</v>
      </c>
    </row>
    <row r="1606" spans="1:11" x14ac:dyDescent="0.3">
      <c r="A1606" s="1">
        <v>45067</v>
      </c>
      <c r="B1606" t="s">
        <v>11</v>
      </c>
      <c r="C1606" t="s">
        <v>12</v>
      </c>
      <c r="D1606" t="s">
        <v>28</v>
      </c>
      <c r="E1606" t="s">
        <v>20</v>
      </c>
      <c r="F1606" t="s">
        <v>16</v>
      </c>
      <c r="G1606">
        <v>141.22</v>
      </c>
      <c r="H1606">
        <v>7</v>
      </c>
      <c r="I1606">
        <v>98.73</v>
      </c>
      <c r="J1606">
        <v>2</v>
      </c>
      <c r="K1606">
        <v>-56.15</v>
      </c>
    </row>
    <row r="1607" spans="1:11" x14ac:dyDescent="0.3">
      <c r="A1607" s="1">
        <v>45155</v>
      </c>
      <c r="B1607" t="s">
        <v>17</v>
      </c>
      <c r="C1607" t="s">
        <v>29</v>
      </c>
      <c r="D1607" t="s">
        <v>27</v>
      </c>
      <c r="E1607" t="s">
        <v>14</v>
      </c>
      <c r="F1607" t="s">
        <v>22</v>
      </c>
      <c r="G1607">
        <v>63.65</v>
      </c>
      <c r="H1607">
        <v>15</v>
      </c>
      <c r="I1607">
        <v>1302.19</v>
      </c>
      <c r="J1607">
        <v>3</v>
      </c>
      <c r="K1607">
        <v>1142.0899999999999</v>
      </c>
    </row>
    <row r="1608" spans="1:11" x14ac:dyDescent="0.3">
      <c r="A1608" s="1">
        <v>44969</v>
      </c>
      <c r="B1608" t="s">
        <v>21</v>
      </c>
      <c r="C1608" t="s">
        <v>12</v>
      </c>
      <c r="D1608" t="s">
        <v>13</v>
      </c>
      <c r="E1608" t="s">
        <v>14</v>
      </c>
      <c r="F1608" t="s">
        <v>15</v>
      </c>
      <c r="G1608">
        <v>50.06</v>
      </c>
      <c r="H1608">
        <v>17</v>
      </c>
      <c r="I1608">
        <v>379.7</v>
      </c>
      <c r="J1608">
        <v>0</v>
      </c>
      <c r="K1608">
        <v>329.64</v>
      </c>
    </row>
    <row r="1609" spans="1:11" x14ac:dyDescent="0.3">
      <c r="A1609" s="1">
        <v>44982</v>
      </c>
      <c r="B1609" t="s">
        <v>21</v>
      </c>
      <c r="C1609" t="s">
        <v>12</v>
      </c>
      <c r="D1609" t="s">
        <v>13</v>
      </c>
      <c r="E1609" t="s">
        <v>14</v>
      </c>
      <c r="F1609" t="s">
        <v>22</v>
      </c>
      <c r="G1609">
        <v>46.37</v>
      </c>
      <c r="H1609">
        <v>15</v>
      </c>
      <c r="I1609">
        <v>831.85</v>
      </c>
      <c r="J1609">
        <v>0</v>
      </c>
      <c r="K1609">
        <v>785.48</v>
      </c>
    </row>
    <row r="1610" spans="1:11" x14ac:dyDescent="0.3">
      <c r="A1610" s="1">
        <v>45275</v>
      </c>
      <c r="B1610" t="s">
        <v>21</v>
      </c>
      <c r="C1610" t="s">
        <v>24</v>
      </c>
      <c r="D1610" t="s">
        <v>13</v>
      </c>
      <c r="E1610" t="s">
        <v>20</v>
      </c>
      <c r="F1610" t="s">
        <v>16</v>
      </c>
      <c r="G1610">
        <v>144.05000000000001</v>
      </c>
      <c r="H1610">
        <v>15</v>
      </c>
      <c r="I1610">
        <v>1403.4</v>
      </c>
      <c r="J1610">
        <v>3</v>
      </c>
      <c r="K1610">
        <v>1191.6400000000001</v>
      </c>
    </row>
    <row r="1611" spans="1:11" x14ac:dyDescent="0.3">
      <c r="A1611" s="1">
        <v>45153</v>
      </c>
      <c r="B1611" t="s">
        <v>17</v>
      </c>
      <c r="C1611" t="s">
        <v>18</v>
      </c>
      <c r="D1611" t="s">
        <v>27</v>
      </c>
      <c r="E1611" t="s">
        <v>14</v>
      </c>
      <c r="F1611" t="s">
        <v>22</v>
      </c>
      <c r="G1611">
        <v>131.36000000000001</v>
      </c>
      <c r="H1611">
        <v>3</v>
      </c>
      <c r="I1611">
        <v>96.29</v>
      </c>
      <c r="J1611">
        <v>3</v>
      </c>
      <c r="K1611">
        <v>-71.14</v>
      </c>
    </row>
    <row r="1612" spans="1:11" x14ac:dyDescent="0.3">
      <c r="A1612" s="1">
        <v>45025</v>
      </c>
      <c r="B1612" t="s">
        <v>11</v>
      </c>
      <c r="C1612" t="s">
        <v>29</v>
      </c>
      <c r="D1612" t="s">
        <v>27</v>
      </c>
      <c r="E1612" t="s">
        <v>20</v>
      </c>
      <c r="F1612" t="s">
        <v>16</v>
      </c>
      <c r="G1612">
        <v>133.28</v>
      </c>
      <c r="H1612">
        <v>9</v>
      </c>
      <c r="I1612">
        <v>198.3</v>
      </c>
      <c r="J1612">
        <v>1</v>
      </c>
      <c r="K1612">
        <v>25.21</v>
      </c>
    </row>
    <row r="1613" spans="1:11" x14ac:dyDescent="0.3">
      <c r="A1613" s="1">
        <v>45044</v>
      </c>
      <c r="B1613" t="s">
        <v>11</v>
      </c>
      <c r="C1613" t="s">
        <v>18</v>
      </c>
      <c r="D1613" t="s">
        <v>28</v>
      </c>
      <c r="E1613" t="s">
        <v>20</v>
      </c>
      <c r="F1613" t="s">
        <v>15</v>
      </c>
      <c r="G1613">
        <v>84.02</v>
      </c>
      <c r="H1613">
        <v>9</v>
      </c>
      <c r="I1613">
        <v>644.73</v>
      </c>
      <c r="J1613">
        <v>0</v>
      </c>
      <c r="K1613">
        <v>560.71</v>
      </c>
    </row>
    <row r="1614" spans="1:11" x14ac:dyDescent="0.3">
      <c r="A1614" s="1">
        <v>45221</v>
      </c>
      <c r="B1614" t="s">
        <v>23</v>
      </c>
      <c r="C1614" t="s">
        <v>18</v>
      </c>
      <c r="D1614" t="s">
        <v>25</v>
      </c>
      <c r="E1614" t="s">
        <v>14</v>
      </c>
      <c r="F1614" t="s">
        <v>15</v>
      </c>
      <c r="G1614">
        <v>94.53</v>
      </c>
      <c r="H1614">
        <v>18</v>
      </c>
      <c r="I1614">
        <v>371.1</v>
      </c>
      <c r="J1614">
        <v>2</v>
      </c>
      <c r="K1614">
        <v>191.3</v>
      </c>
    </row>
    <row r="1615" spans="1:11" x14ac:dyDescent="0.3">
      <c r="A1615" s="1">
        <v>45095</v>
      </c>
      <c r="B1615" t="s">
        <v>17</v>
      </c>
      <c r="C1615" t="s">
        <v>29</v>
      </c>
      <c r="D1615" t="s">
        <v>27</v>
      </c>
      <c r="E1615" t="s">
        <v>20</v>
      </c>
      <c r="F1615" t="s">
        <v>15</v>
      </c>
      <c r="G1615">
        <v>60.44</v>
      </c>
      <c r="H1615">
        <v>16</v>
      </c>
      <c r="I1615">
        <v>170.27</v>
      </c>
      <c r="J1615">
        <v>3</v>
      </c>
      <c r="K1615">
        <v>9.01</v>
      </c>
    </row>
    <row r="1616" spans="1:11" x14ac:dyDescent="0.3">
      <c r="A1616" s="1">
        <v>45217</v>
      </c>
      <c r="B1616" t="s">
        <v>23</v>
      </c>
      <c r="C1616" t="s">
        <v>18</v>
      </c>
      <c r="D1616" t="s">
        <v>28</v>
      </c>
      <c r="E1616" t="s">
        <v>14</v>
      </c>
      <c r="F1616" t="s">
        <v>26</v>
      </c>
      <c r="G1616">
        <v>70.849999999999994</v>
      </c>
      <c r="H1616">
        <v>9</v>
      </c>
      <c r="I1616">
        <v>672.55</v>
      </c>
      <c r="J1616">
        <v>3</v>
      </c>
      <c r="K1616">
        <v>517.02</v>
      </c>
    </row>
    <row r="1617" spans="1:11" x14ac:dyDescent="0.3">
      <c r="A1617" s="1">
        <v>44984</v>
      </c>
      <c r="B1617" t="s">
        <v>21</v>
      </c>
      <c r="C1617" t="s">
        <v>18</v>
      </c>
      <c r="D1617" t="s">
        <v>27</v>
      </c>
      <c r="E1617" t="s">
        <v>14</v>
      </c>
      <c r="F1617" t="s">
        <v>22</v>
      </c>
      <c r="G1617">
        <v>112.53</v>
      </c>
      <c r="H1617">
        <v>12</v>
      </c>
      <c r="I1617">
        <v>1043.29</v>
      </c>
      <c r="J1617">
        <v>2</v>
      </c>
      <c r="K1617">
        <v>830.89</v>
      </c>
    </row>
    <row r="1618" spans="1:11" x14ac:dyDescent="0.3">
      <c r="A1618" s="1">
        <v>45096</v>
      </c>
      <c r="B1618" t="s">
        <v>17</v>
      </c>
      <c r="C1618" t="s">
        <v>12</v>
      </c>
      <c r="D1618" t="s">
        <v>27</v>
      </c>
      <c r="E1618" t="s">
        <v>20</v>
      </c>
      <c r="F1618" t="s">
        <v>22</v>
      </c>
      <c r="G1618">
        <v>5.7</v>
      </c>
      <c r="H1618">
        <v>13</v>
      </c>
      <c r="I1618">
        <v>475.01</v>
      </c>
      <c r="J1618">
        <v>3</v>
      </c>
      <c r="K1618">
        <v>424.81</v>
      </c>
    </row>
    <row r="1619" spans="1:11" x14ac:dyDescent="0.3">
      <c r="A1619" s="1">
        <v>45095</v>
      </c>
      <c r="B1619" t="s">
        <v>17</v>
      </c>
      <c r="C1619" t="s">
        <v>29</v>
      </c>
      <c r="D1619" t="s">
        <v>25</v>
      </c>
      <c r="E1619" t="s">
        <v>20</v>
      </c>
      <c r="F1619" t="s">
        <v>16</v>
      </c>
      <c r="G1619">
        <v>157.37</v>
      </c>
      <c r="H1619">
        <v>20</v>
      </c>
      <c r="I1619">
        <v>1524.35</v>
      </c>
      <c r="J1619">
        <v>3</v>
      </c>
      <c r="K1619">
        <v>1331.86</v>
      </c>
    </row>
    <row r="1620" spans="1:11" x14ac:dyDescent="0.3">
      <c r="A1620" s="1">
        <v>45121</v>
      </c>
      <c r="B1620" t="s">
        <v>17</v>
      </c>
      <c r="C1620" t="s">
        <v>29</v>
      </c>
      <c r="D1620" t="s">
        <v>25</v>
      </c>
      <c r="E1620" t="s">
        <v>14</v>
      </c>
      <c r="F1620" t="s">
        <v>22</v>
      </c>
      <c r="G1620">
        <v>108.98</v>
      </c>
      <c r="H1620">
        <v>9</v>
      </c>
      <c r="I1620">
        <v>356.6</v>
      </c>
      <c r="J1620">
        <v>3</v>
      </c>
      <c r="K1620">
        <v>136.52000000000001</v>
      </c>
    </row>
    <row r="1621" spans="1:11" x14ac:dyDescent="0.3">
      <c r="A1621" s="1">
        <v>45266</v>
      </c>
      <c r="B1621" t="s">
        <v>21</v>
      </c>
      <c r="C1621" t="s">
        <v>29</v>
      </c>
      <c r="D1621" t="s">
        <v>27</v>
      </c>
      <c r="E1621" t="s">
        <v>20</v>
      </c>
      <c r="F1621" t="s">
        <v>16</v>
      </c>
      <c r="G1621">
        <v>49.19</v>
      </c>
      <c r="H1621">
        <v>19</v>
      </c>
      <c r="I1621">
        <v>891.28</v>
      </c>
      <c r="J1621">
        <v>0</v>
      </c>
      <c r="K1621">
        <v>842.09</v>
      </c>
    </row>
    <row r="1622" spans="1:11" x14ac:dyDescent="0.3">
      <c r="A1622" s="1">
        <v>45112</v>
      </c>
      <c r="B1622" t="s">
        <v>17</v>
      </c>
      <c r="C1622" t="s">
        <v>18</v>
      </c>
      <c r="D1622" t="s">
        <v>27</v>
      </c>
      <c r="E1622" t="s">
        <v>20</v>
      </c>
      <c r="F1622" t="s">
        <v>26</v>
      </c>
      <c r="G1622">
        <v>67.010000000000005</v>
      </c>
      <c r="H1622">
        <v>1</v>
      </c>
      <c r="I1622">
        <v>56.02</v>
      </c>
      <c r="J1622">
        <v>1</v>
      </c>
      <c r="K1622">
        <v>-60.85</v>
      </c>
    </row>
    <row r="1623" spans="1:11" x14ac:dyDescent="0.3">
      <c r="A1623" s="1">
        <v>45135</v>
      </c>
      <c r="B1623" t="s">
        <v>17</v>
      </c>
      <c r="C1623" t="s">
        <v>18</v>
      </c>
      <c r="D1623" t="s">
        <v>28</v>
      </c>
      <c r="E1623" t="s">
        <v>20</v>
      </c>
      <c r="F1623" t="s">
        <v>22</v>
      </c>
      <c r="G1623">
        <v>81.680000000000007</v>
      </c>
      <c r="H1623">
        <v>12</v>
      </c>
      <c r="I1623">
        <v>1097.72</v>
      </c>
      <c r="J1623">
        <v>2</v>
      </c>
      <c r="K1623">
        <v>940.35</v>
      </c>
    </row>
    <row r="1624" spans="1:11" x14ac:dyDescent="0.3">
      <c r="A1624" s="1">
        <v>44986</v>
      </c>
      <c r="B1624" t="s">
        <v>11</v>
      </c>
      <c r="C1624" t="s">
        <v>24</v>
      </c>
      <c r="D1624" t="s">
        <v>13</v>
      </c>
      <c r="E1624" t="s">
        <v>14</v>
      </c>
      <c r="F1624" t="s">
        <v>22</v>
      </c>
      <c r="G1624">
        <v>157.44999999999999</v>
      </c>
      <c r="H1624">
        <v>14</v>
      </c>
      <c r="I1624">
        <v>956.03</v>
      </c>
      <c r="J1624">
        <v>2</v>
      </c>
      <c r="K1624">
        <v>712.84</v>
      </c>
    </row>
    <row r="1625" spans="1:11" x14ac:dyDescent="0.3">
      <c r="A1625" s="1">
        <v>44987</v>
      </c>
      <c r="B1625" t="s">
        <v>11</v>
      </c>
      <c r="C1625" t="s">
        <v>29</v>
      </c>
      <c r="D1625" t="s">
        <v>28</v>
      </c>
      <c r="E1625" t="s">
        <v>14</v>
      </c>
      <c r="F1625" t="s">
        <v>16</v>
      </c>
      <c r="G1625">
        <v>24.14</v>
      </c>
      <c r="H1625">
        <v>8</v>
      </c>
      <c r="I1625">
        <v>637.66</v>
      </c>
      <c r="J1625">
        <v>0</v>
      </c>
      <c r="K1625">
        <v>613.52</v>
      </c>
    </row>
    <row r="1626" spans="1:11" x14ac:dyDescent="0.3">
      <c r="A1626" s="1">
        <v>45180</v>
      </c>
      <c r="B1626" t="s">
        <v>23</v>
      </c>
      <c r="C1626" t="s">
        <v>24</v>
      </c>
      <c r="D1626" t="s">
        <v>25</v>
      </c>
      <c r="E1626" t="s">
        <v>20</v>
      </c>
      <c r="F1626" t="s">
        <v>16</v>
      </c>
      <c r="G1626">
        <v>74.92</v>
      </c>
      <c r="H1626">
        <v>4</v>
      </c>
      <c r="I1626">
        <v>203.23</v>
      </c>
      <c r="J1626">
        <v>1</v>
      </c>
      <c r="K1626">
        <v>110.18</v>
      </c>
    </row>
    <row r="1627" spans="1:11" x14ac:dyDescent="0.3">
      <c r="A1627" s="1">
        <v>45287</v>
      </c>
      <c r="B1627" t="s">
        <v>21</v>
      </c>
      <c r="C1627" t="s">
        <v>12</v>
      </c>
      <c r="D1627" t="s">
        <v>28</v>
      </c>
      <c r="E1627" t="s">
        <v>20</v>
      </c>
      <c r="F1627" t="s">
        <v>15</v>
      </c>
      <c r="G1627">
        <v>26.73</v>
      </c>
      <c r="H1627">
        <v>17</v>
      </c>
      <c r="I1627">
        <v>419.33</v>
      </c>
      <c r="J1627">
        <v>3</v>
      </c>
      <c r="K1627">
        <v>365.25</v>
      </c>
    </row>
    <row r="1628" spans="1:11" x14ac:dyDescent="0.3">
      <c r="A1628" s="1">
        <v>45217</v>
      </c>
      <c r="B1628" t="s">
        <v>23</v>
      </c>
      <c r="C1628" t="s">
        <v>24</v>
      </c>
      <c r="D1628" t="s">
        <v>27</v>
      </c>
      <c r="E1628" t="s">
        <v>14</v>
      </c>
      <c r="F1628" t="s">
        <v>16</v>
      </c>
      <c r="G1628">
        <v>44.39</v>
      </c>
      <c r="H1628">
        <v>6</v>
      </c>
      <c r="I1628">
        <v>462.64</v>
      </c>
      <c r="J1628">
        <v>3</v>
      </c>
      <c r="K1628">
        <v>398.65</v>
      </c>
    </row>
    <row r="1629" spans="1:11" x14ac:dyDescent="0.3">
      <c r="A1629" s="1">
        <v>45127</v>
      </c>
      <c r="B1629" t="s">
        <v>17</v>
      </c>
      <c r="C1629" t="s">
        <v>12</v>
      </c>
      <c r="D1629" t="s">
        <v>28</v>
      </c>
      <c r="E1629" t="s">
        <v>20</v>
      </c>
      <c r="F1629" t="s">
        <v>22</v>
      </c>
      <c r="G1629">
        <v>47.09</v>
      </c>
      <c r="H1629">
        <v>10</v>
      </c>
      <c r="I1629">
        <v>663.79</v>
      </c>
      <c r="J1629">
        <v>1</v>
      </c>
      <c r="K1629">
        <v>567.30999999999995</v>
      </c>
    </row>
    <row r="1630" spans="1:11" x14ac:dyDescent="0.3">
      <c r="A1630" s="1">
        <v>45065</v>
      </c>
      <c r="B1630" t="s">
        <v>11</v>
      </c>
      <c r="C1630" t="s">
        <v>18</v>
      </c>
      <c r="D1630" t="s">
        <v>25</v>
      </c>
      <c r="E1630" t="s">
        <v>20</v>
      </c>
      <c r="F1630" t="s">
        <v>26</v>
      </c>
      <c r="G1630">
        <v>85.05</v>
      </c>
      <c r="H1630">
        <v>18</v>
      </c>
      <c r="I1630">
        <v>1119.5</v>
      </c>
      <c r="J1630">
        <v>1</v>
      </c>
      <c r="K1630">
        <v>1016.78</v>
      </c>
    </row>
    <row r="1631" spans="1:11" x14ac:dyDescent="0.3">
      <c r="A1631" s="1">
        <v>45059</v>
      </c>
      <c r="B1631" t="s">
        <v>11</v>
      </c>
      <c r="C1631" t="s">
        <v>18</v>
      </c>
      <c r="D1631" t="s">
        <v>28</v>
      </c>
      <c r="E1631" t="s">
        <v>20</v>
      </c>
      <c r="F1631" t="s">
        <v>26</v>
      </c>
      <c r="G1631">
        <v>51.21</v>
      </c>
      <c r="H1631">
        <v>7</v>
      </c>
      <c r="I1631">
        <v>638.77</v>
      </c>
      <c r="J1631">
        <v>2</v>
      </c>
      <c r="K1631">
        <v>547.54999999999995</v>
      </c>
    </row>
    <row r="1632" spans="1:11" x14ac:dyDescent="0.3">
      <c r="A1632" s="1">
        <v>45280</v>
      </c>
      <c r="B1632" t="s">
        <v>21</v>
      </c>
      <c r="C1632" t="s">
        <v>12</v>
      </c>
      <c r="D1632" t="s">
        <v>25</v>
      </c>
      <c r="E1632" t="s">
        <v>20</v>
      </c>
      <c r="F1632" t="s">
        <v>15</v>
      </c>
      <c r="G1632">
        <v>198.46</v>
      </c>
      <c r="H1632">
        <v>12</v>
      </c>
      <c r="I1632">
        <v>343.73</v>
      </c>
      <c r="J1632">
        <v>3</v>
      </c>
      <c r="K1632">
        <v>59.35</v>
      </c>
    </row>
    <row r="1633" spans="1:11" x14ac:dyDescent="0.3">
      <c r="A1633" s="1">
        <v>45059</v>
      </c>
      <c r="B1633" t="s">
        <v>11</v>
      </c>
      <c r="C1633" t="s">
        <v>29</v>
      </c>
      <c r="D1633" t="s">
        <v>25</v>
      </c>
      <c r="E1633" t="s">
        <v>20</v>
      </c>
      <c r="F1633" t="s">
        <v>16</v>
      </c>
      <c r="G1633">
        <v>187.56</v>
      </c>
      <c r="H1633">
        <v>6</v>
      </c>
      <c r="I1633">
        <v>573.11</v>
      </c>
      <c r="J1633">
        <v>2</v>
      </c>
      <c r="K1633">
        <v>359.17</v>
      </c>
    </row>
    <row r="1634" spans="1:11" x14ac:dyDescent="0.3">
      <c r="A1634" s="1">
        <v>45034</v>
      </c>
      <c r="B1634" t="s">
        <v>11</v>
      </c>
      <c r="C1634" t="s">
        <v>24</v>
      </c>
      <c r="D1634" t="s">
        <v>27</v>
      </c>
      <c r="E1634" t="s">
        <v>20</v>
      </c>
      <c r="F1634" t="s">
        <v>15</v>
      </c>
      <c r="G1634">
        <v>40.869999999999997</v>
      </c>
      <c r="H1634">
        <v>4</v>
      </c>
      <c r="I1634">
        <v>315.94</v>
      </c>
      <c r="J1634">
        <v>0</v>
      </c>
      <c r="K1634">
        <v>275.07</v>
      </c>
    </row>
    <row r="1635" spans="1:11" x14ac:dyDescent="0.3">
      <c r="A1635" s="1">
        <v>45232</v>
      </c>
      <c r="B1635" t="s">
        <v>23</v>
      </c>
      <c r="C1635" t="s">
        <v>18</v>
      </c>
      <c r="D1635" t="s">
        <v>25</v>
      </c>
      <c r="E1635" t="s">
        <v>14</v>
      </c>
      <c r="F1635" t="s">
        <v>15</v>
      </c>
      <c r="G1635">
        <v>13.15</v>
      </c>
      <c r="H1635">
        <v>10</v>
      </c>
      <c r="I1635">
        <v>949.23</v>
      </c>
      <c r="J1635">
        <v>0</v>
      </c>
      <c r="K1635">
        <v>936.08</v>
      </c>
    </row>
    <row r="1636" spans="1:11" x14ac:dyDescent="0.3">
      <c r="A1636" s="1">
        <v>45032</v>
      </c>
      <c r="B1636" t="s">
        <v>11</v>
      </c>
      <c r="C1636" t="s">
        <v>24</v>
      </c>
      <c r="D1636" t="s">
        <v>28</v>
      </c>
      <c r="E1636" t="s">
        <v>14</v>
      </c>
      <c r="F1636" t="s">
        <v>26</v>
      </c>
      <c r="G1636">
        <v>109.54</v>
      </c>
      <c r="H1636">
        <v>18</v>
      </c>
      <c r="I1636">
        <v>1495.99</v>
      </c>
      <c r="J1636">
        <v>2</v>
      </c>
      <c r="K1636">
        <v>1334.6</v>
      </c>
    </row>
    <row r="1637" spans="1:11" x14ac:dyDescent="0.3">
      <c r="A1637" s="1">
        <v>45275</v>
      </c>
      <c r="B1637" t="s">
        <v>21</v>
      </c>
      <c r="C1637" t="s">
        <v>18</v>
      </c>
      <c r="D1637" t="s">
        <v>27</v>
      </c>
      <c r="E1637" t="s">
        <v>14</v>
      </c>
      <c r="F1637" t="s">
        <v>22</v>
      </c>
      <c r="G1637">
        <v>155.5</v>
      </c>
      <c r="H1637">
        <v>6</v>
      </c>
      <c r="I1637">
        <v>121.09</v>
      </c>
      <c r="J1637">
        <v>2</v>
      </c>
      <c r="K1637">
        <v>-101.16</v>
      </c>
    </row>
    <row r="1638" spans="1:11" x14ac:dyDescent="0.3">
      <c r="A1638" s="1">
        <v>44947</v>
      </c>
      <c r="B1638" t="s">
        <v>21</v>
      </c>
      <c r="C1638" t="s">
        <v>29</v>
      </c>
      <c r="D1638" t="s">
        <v>19</v>
      </c>
      <c r="E1638" t="s">
        <v>20</v>
      </c>
      <c r="F1638" t="s">
        <v>16</v>
      </c>
      <c r="G1638">
        <v>108.47</v>
      </c>
      <c r="H1638">
        <v>11</v>
      </c>
      <c r="I1638">
        <v>183.45</v>
      </c>
      <c r="J1638">
        <v>2</v>
      </c>
      <c r="K1638">
        <v>56.05</v>
      </c>
    </row>
    <row r="1639" spans="1:11" x14ac:dyDescent="0.3">
      <c r="A1639" s="1">
        <v>45160</v>
      </c>
      <c r="B1639" t="s">
        <v>17</v>
      </c>
      <c r="C1639" t="s">
        <v>29</v>
      </c>
      <c r="D1639" t="s">
        <v>25</v>
      </c>
      <c r="E1639" t="s">
        <v>20</v>
      </c>
      <c r="F1639" t="s">
        <v>16</v>
      </c>
      <c r="G1639">
        <v>74.45</v>
      </c>
      <c r="H1639">
        <v>12</v>
      </c>
      <c r="I1639">
        <v>338.72</v>
      </c>
      <c r="J1639">
        <v>1</v>
      </c>
      <c r="K1639">
        <v>251.89</v>
      </c>
    </row>
    <row r="1640" spans="1:11" x14ac:dyDescent="0.3">
      <c r="A1640" s="1">
        <v>45206</v>
      </c>
      <c r="B1640" t="s">
        <v>23</v>
      </c>
      <c r="C1640" t="s">
        <v>12</v>
      </c>
      <c r="D1640" t="s">
        <v>28</v>
      </c>
      <c r="E1640" t="s">
        <v>20</v>
      </c>
      <c r="F1640" t="s">
        <v>22</v>
      </c>
      <c r="G1640">
        <v>198.68</v>
      </c>
      <c r="H1640">
        <v>14</v>
      </c>
      <c r="I1640">
        <v>932.24</v>
      </c>
      <c r="J1640">
        <v>0</v>
      </c>
      <c r="K1640">
        <v>733.56</v>
      </c>
    </row>
    <row r="1641" spans="1:11" x14ac:dyDescent="0.3">
      <c r="A1641" s="1">
        <v>45047</v>
      </c>
      <c r="B1641" t="s">
        <v>11</v>
      </c>
      <c r="C1641" t="s">
        <v>29</v>
      </c>
      <c r="D1641" t="s">
        <v>13</v>
      </c>
      <c r="E1641" t="s">
        <v>20</v>
      </c>
      <c r="F1641" t="s">
        <v>16</v>
      </c>
      <c r="G1641">
        <v>147.21</v>
      </c>
      <c r="H1641">
        <v>11</v>
      </c>
      <c r="I1641">
        <v>380.69</v>
      </c>
      <c r="J1641">
        <v>0</v>
      </c>
      <c r="K1641">
        <v>233.48</v>
      </c>
    </row>
    <row r="1642" spans="1:11" x14ac:dyDescent="0.3">
      <c r="A1642" s="1">
        <v>45033</v>
      </c>
      <c r="B1642" t="s">
        <v>11</v>
      </c>
      <c r="C1642" t="s">
        <v>18</v>
      </c>
      <c r="D1642" t="s">
        <v>19</v>
      </c>
      <c r="E1642" t="s">
        <v>20</v>
      </c>
      <c r="F1642" t="s">
        <v>22</v>
      </c>
      <c r="G1642">
        <v>112.27</v>
      </c>
      <c r="H1642">
        <v>10</v>
      </c>
      <c r="I1642">
        <v>284.95</v>
      </c>
      <c r="J1642">
        <v>0</v>
      </c>
      <c r="K1642">
        <v>172.68</v>
      </c>
    </row>
    <row r="1643" spans="1:11" x14ac:dyDescent="0.3">
      <c r="A1643" s="1">
        <v>45146</v>
      </c>
      <c r="B1643" t="s">
        <v>17</v>
      </c>
      <c r="C1643" t="s">
        <v>24</v>
      </c>
      <c r="D1643" t="s">
        <v>25</v>
      </c>
      <c r="E1643" t="s">
        <v>20</v>
      </c>
      <c r="F1643" t="s">
        <v>26</v>
      </c>
      <c r="G1643">
        <v>171.13</v>
      </c>
      <c r="H1643">
        <v>18</v>
      </c>
      <c r="I1643">
        <v>624.23</v>
      </c>
      <c r="J1643">
        <v>1</v>
      </c>
      <c r="K1643">
        <v>439.74</v>
      </c>
    </row>
    <row r="1644" spans="1:11" x14ac:dyDescent="0.3">
      <c r="A1644" s="1">
        <v>45052</v>
      </c>
      <c r="B1644" t="s">
        <v>11</v>
      </c>
      <c r="C1644" t="s">
        <v>18</v>
      </c>
      <c r="D1644" t="s">
        <v>28</v>
      </c>
      <c r="E1644" t="s">
        <v>14</v>
      </c>
      <c r="F1644" t="s">
        <v>16</v>
      </c>
      <c r="G1644">
        <v>156.41</v>
      </c>
      <c r="H1644">
        <v>12</v>
      </c>
      <c r="I1644">
        <v>663.08</v>
      </c>
      <c r="J1644">
        <v>2</v>
      </c>
      <c r="K1644">
        <v>480.37</v>
      </c>
    </row>
    <row r="1645" spans="1:11" x14ac:dyDescent="0.3">
      <c r="A1645" s="1">
        <v>45193</v>
      </c>
      <c r="B1645" t="s">
        <v>23</v>
      </c>
      <c r="C1645" t="s">
        <v>24</v>
      </c>
      <c r="D1645" t="s">
        <v>19</v>
      </c>
      <c r="E1645" t="s">
        <v>20</v>
      </c>
      <c r="F1645" t="s">
        <v>15</v>
      </c>
      <c r="G1645">
        <v>67.16</v>
      </c>
      <c r="H1645">
        <v>8</v>
      </c>
      <c r="I1645">
        <v>336.67</v>
      </c>
      <c r="J1645">
        <v>0</v>
      </c>
      <c r="K1645">
        <v>269.51</v>
      </c>
    </row>
    <row r="1646" spans="1:11" x14ac:dyDescent="0.3">
      <c r="A1646" s="1">
        <v>45076</v>
      </c>
      <c r="B1646" t="s">
        <v>11</v>
      </c>
      <c r="C1646" t="s">
        <v>12</v>
      </c>
      <c r="D1646" t="s">
        <v>13</v>
      </c>
      <c r="E1646" t="s">
        <v>20</v>
      </c>
      <c r="F1646" t="s">
        <v>15</v>
      </c>
      <c r="G1646">
        <v>17.32</v>
      </c>
      <c r="H1646">
        <v>1</v>
      </c>
      <c r="I1646">
        <v>59.47</v>
      </c>
      <c r="J1646">
        <v>0</v>
      </c>
      <c r="K1646">
        <v>42.15</v>
      </c>
    </row>
    <row r="1647" spans="1:11" x14ac:dyDescent="0.3">
      <c r="A1647" s="1">
        <v>45018</v>
      </c>
      <c r="B1647" t="s">
        <v>11</v>
      </c>
      <c r="C1647" t="s">
        <v>29</v>
      </c>
      <c r="D1647" t="s">
        <v>25</v>
      </c>
      <c r="E1647" t="s">
        <v>20</v>
      </c>
      <c r="F1647" t="s">
        <v>15</v>
      </c>
      <c r="G1647">
        <v>67.91</v>
      </c>
      <c r="H1647">
        <v>19</v>
      </c>
      <c r="I1647">
        <v>444.74</v>
      </c>
      <c r="J1647">
        <v>2</v>
      </c>
      <c r="K1647">
        <v>364.13</v>
      </c>
    </row>
    <row r="1648" spans="1:11" x14ac:dyDescent="0.3">
      <c r="A1648" s="1">
        <v>45224</v>
      </c>
      <c r="B1648" t="s">
        <v>23</v>
      </c>
      <c r="C1648" t="s">
        <v>29</v>
      </c>
      <c r="D1648" t="s">
        <v>27</v>
      </c>
      <c r="E1648" t="s">
        <v>14</v>
      </c>
      <c r="F1648" t="s">
        <v>22</v>
      </c>
      <c r="G1648">
        <v>40.130000000000003</v>
      </c>
      <c r="H1648">
        <v>8</v>
      </c>
      <c r="I1648">
        <v>206.99</v>
      </c>
      <c r="J1648">
        <v>3</v>
      </c>
      <c r="K1648">
        <v>82.27</v>
      </c>
    </row>
    <row r="1649" spans="1:11" x14ac:dyDescent="0.3">
      <c r="A1649" s="1">
        <v>45193</v>
      </c>
      <c r="B1649" t="s">
        <v>23</v>
      </c>
      <c r="C1649" t="s">
        <v>29</v>
      </c>
      <c r="D1649" t="s">
        <v>27</v>
      </c>
      <c r="E1649" t="s">
        <v>20</v>
      </c>
      <c r="F1649" t="s">
        <v>15</v>
      </c>
      <c r="G1649">
        <v>160.69999999999999</v>
      </c>
      <c r="H1649">
        <v>14</v>
      </c>
      <c r="I1649">
        <v>887.97</v>
      </c>
      <c r="J1649">
        <v>0</v>
      </c>
      <c r="K1649">
        <v>727.27</v>
      </c>
    </row>
    <row r="1650" spans="1:11" x14ac:dyDescent="0.3">
      <c r="A1650" s="1">
        <v>45046</v>
      </c>
      <c r="B1650" t="s">
        <v>11</v>
      </c>
      <c r="C1650" t="s">
        <v>18</v>
      </c>
      <c r="D1650" t="s">
        <v>28</v>
      </c>
      <c r="E1650" t="s">
        <v>20</v>
      </c>
      <c r="F1650" t="s">
        <v>16</v>
      </c>
      <c r="G1650">
        <v>74.44</v>
      </c>
      <c r="H1650">
        <v>16</v>
      </c>
      <c r="I1650">
        <v>766.28</v>
      </c>
      <c r="J1650">
        <v>1</v>
      </c>
      <c r="K1650">
        <v>659.5</v>
      </c>
    </row>
    <row r="1651" spans="1:11" x14ac:dyDescent="0.3">
      <c r="A1651" s="1">
        <v>45271</v>
      </c>
      <c r="B1651" t="s">
        <v>21</v>
      </c>
      <c r="C1651" t="s">
        <v>18</v>
      </c>
      <c r="D1651" t="s">
        <v>27</v>
      </c>
      <c r="E1651" t="s">
        <v>14</v>
      </c>
      <c r="F1651" t="s">
        <v>22</v>
      </c>
      <c r="G1651">
        <v>181.31</v>
      </c>
      <c r="H1651">
        <v>7</v>
      </c>
      <c r="I1651">
        <v>631.28</v>
      </c>
      <c r="J1651">
        <v>2</v>
      </c>
      <c r="K1651">
        <v>373.65</v>
      </c>
    </row>
    <row r="1652" spans="1:11" x14ac:dyDescent="0.3">
      <c r="A1652" s="1">
        <v>45054</v>
      </c>
      <c r="B1652" t="s">
        <v>11</v>
      </c>
      <c r="C1652" t="s">
        <v>12</v>
      </c>
      <c r="D1652" t="s">
        <v>25</v>
      </c>
      <c r="E1652" t="s">
        <v>14</v>
      </c>
      <c r="F1652" t="s">
        <v>26</v>
      </c>
      <c r="G1652">
        <v>149.30000000000001</v>
      </c>
      <c r="H1652">
        <v>16</v>
      </c>
      <c r="I1652">
        <v>1541.24</v>
      </c>
      <c r="J1652">
        <v>0</v>
      </c>
      <c r="K1652">
        <v>1391.94</v>
      </c>
    </row>
    <row r="1653" spans="1:11" x14ac:dyDescent="0.3">
      <c r="A1653" s="1">
        <v>45208</v>
      </c>
      <c r="B1653" t="s">
        <v>23</v>
      </c>
      <c r="C1653" t="s">
        <v>18</v>
      </c>
      <c r="D1653" t="s">
        <v>13</v>
      </c>
      <c r="E1653" t="s">
        <v>14</v>
      </c>
      <c r="F1653" t="s">
        <v>15</v>
      </c>
      <c r="G1653">
        <v>115.94</v>
      </c>
      <c r="H1653">
        <v>8</v>
      </c>
      <c r="I1653">
        <v>328.95</v>
      </c>
      <c r="J1653">
        <v>2</v>
      </c>
      <c r="K1653">
        <v>126.72</v>
      </c>
    </row>
    <row r="1654" spans="1:11" x14ac:dyDescent="0.3">
      <c r="A1654" s="1">
        <v>44970</v>
      </c>
      <c r="B1654" t="s">
        <v>21</v>
      </c>
      <c r="C1654" t="s">
        <v>18</v>
      </c>
      <c r="D1654" t="s">
        <v>27</v>
      </c>
      <c r="E1654" t="s">
        <v>20</v>
      </c>
      <c r="F1654" t="s">
        <v>16</v>
      </c>
      <c r="G1654">
        <v>50.6</v>
      </c>
      <c r="H1654">
        <v>10</v>
      </c>
      <c r="I1654">
        <v>172.62</v>
      </c>
      <c r="J1654">
        <v>1</v>
      </c>
      <c r="K1654">
        <v>87.16</v>
      </c>
    </row>
    <row r="1655" spans="1:11" x14ac:dyDescent="0.3">
      <c r="A1655" s="1">
        <v>45203</v>
      </c>
      <c r="B1655" t="s">
        <v>23</v>
      </c>
      <c r="C1655" t="s">
        <v>24</v>
      </c>
      <c r="D1655" t="s">
        <v>27</v>
      </c>
      <c r="E1655" t="s">
        <v>14</v>
      </c>
      <c r="F1655" t="s">
        <v>26</v>
      </c>
      <c r="G1655">
        <v>68.05</v>
      </c>
      <c r="H1655">
        <v>20</v>
      </c>
      <c r="I1655">
        <v>1221.8699999999999</v>
      </c>
      <c r="J1655">
        <v>0</v>
      </c>
      <c r="K1655">
        <v>1153.82</v>
      </c>
    </row>
    <row r="1656" spans="1:11" x14ac:dyDescent="0.3">
      <c r="A1656" s="1">
        <v>45230</v>
      </c>
      <c r="B1656" t="s">
        <v>23</v>
      </c>
      <c r="C1656" t="s">
        <v>12</v>
      </c>
      <c r="D1656" t="s">
        <v>28</v>
      </c>
      <c r="E1656" t="s">
        <v>14</v>
      </c>
      <c r="F1656" t="s">
        <v>26</v>
      </c>
      <c r="G1656">
        <v>160.16</v>
      </c>
      <c r="H1656">
        <v>11</v>
      </c>
      <c r="I1656">
        <v>489.17</v>
      </c>
      <c r="J1656">
        <v>3</v>
      </c>
      <c r="K1656">
        <v>214.47</v>
      </c>
    </row>
    <row r="1657" spans="1:11" x14ac:dyDescent="0.3">
      <c r="A1657" s="1">
        <v>45275</v>
      </c>
      <c r="B1657" t="s">
        <v>21</v>
      </c>
      <c r="C1657" t="s">
        <v>24</v>
      </c>
      <c r="D1657" t="s">
        <v>13</v>
      </c>
      <c r="E1657" t="s">
        <v>14</v>
      </c>
      <c r="F1657" t="s">
        <v>16</v>
      </c>
      <c r="G1657">
        <v>39.92</v>
      </c>
      <c r="H1657">
        <v>13</v>
      </c>
      <c r="I1657">
        <v>1203.54</v>
      </c>
      <c r="J1657">
        <v>3</v>
      </c>
      <c r="K1657">
        <v>1070.04</v>
      </c>
    </row>
    <row r="1658" spans="1:11" x14ac:dyDescent="0.3">
      <c r="A1658" s="1">
        <v>44993</v>
      </c>
      <c r="B1658" t="s">
        <v>11</v>
      </c>
      <c r="C1658" t="s">
        <v>24</v>
      </c>
      <c r="D1658" t="s">
        <v>28</v>
      </c>
      <c r="E1658" t="s">
        <v>20</v>
      </c>
      <c r="F1658" t="s">
        <v>16</v>
      </c>
      <c r="G1658">
        <v>55.75</v>
      </c>
      <c r="H1658">
        <v>2</v>
      </c>
      <c r="I1658">
        <v>87.37</v>
      </c>
      <c r="J1658">
        <v>0</v>
      </c>
      <c r="K1658">
        <v>31.62</v>
      </c>
    </row>
    <row r="1659" spans="1:11" x14ac:dyDescent="0.3">
      <c r="A1659" s="1">
        <v>45022</v>
      </c>
      <c r="B1659" t="s">
        <v>11</v>
      </c>
      <c r="C1659" t="s">
        <v>29</v>
      </c>
      <c r="D1659" t="s">
        <v>27</v>
      </c>
      <c r="E1659" t="s">
        <v>14</v>
      </c>
      <c r="F1659" t="s">
        <v>16</v>
      </c>
      <c r="G1659">
        <v>102.12</v>
      </c>
      <c r="H1659">
        <v>10</v>
      </c>
      <c r="I1659">
        <v>529.61</v>
      </c>
      <c r="J1659">
        <v>1</v>
      </c>
      <c r="K1659">
        <v>389.33</v>
      </c>
    </row>
    <row r="1660" spans="1:11" x14ac:dyDescent="0.3">
      <c r="A1660" s="1">
        <v>45100</v>
      </c>
      <c r="B1660" t="s">
        <v>17</v>
      </c>
      <c r="C1660" t="s">
        <v>29</v>
      </c>
      <c r="D1660" t="s">
        <v>13</v>
      </c>
      <c r="E1660" t="s">
        <v>14</v>
      </c>
      <c r="F1660" t="s">
        <v>26</v>
      </c>
      <c r="G1660">
        <v>188.37</v>
      </c>
      <c r="H1660">
        <v>9</v>
      </c>
      <c r="I1660">
        <v>628.01</v>
      </c>
      <c r="J1660">
        <v>2</v>
      </c>
      <c r="K1660">
        <v>357.55</v>
      </c>
    </row>
    <row r="1661" spans="1:11" x14ac:dyDescent="0.3">
      <c r="A1661" s="1">
        <v>45143</v>
      </c>
      <c r="B1661" t="s">
        <v>17</v>
      </c>
      <c r="C1661" t="s">
        <v>29</v>
      </c>
      <c r="D1661" t="s">
        <v>27</v>
      </c>
      <c r="E1661" t="s">
        <v>14</v>
      </c>
      <c r="F1661" t="s">
        <v>16</v>
      </c>
      <c r="G1661">
        <v>58.54</v>
      </c>
      <c r="H1661">
        <v>7</v>
      </c>
      <c r="I1661">
        <v>155.49</v>
      </c>
      <c r="J1661">
        <v>1</v>
      </c>
      <c r="K1661">
        <v>63.54</v>
      </c>
    </row>
    <row r="1662" spans="1:11" x14ac:dyDescent="0.3">
      <c r="A1662" s="1">
        <v>45062</v>
      </c>
      <c r="B1662" t="s">
        <v>11</v>
      </c>
      <c r="C1662" t="s">
        <v>18</v>
      </c>
      <c r="D1662" t="s">
        <v>27</v>
      </c>
      <c r="E1662" t="s">
        <v>14</v>
      </c>
      <c r="F1662" t="s">
        <v>26</v>
      </c>
      <c r="G1662">
        <v>135.78</v>
      </c>
      <c r="H1662">
        <v>18</v>
      </c>
      <c r="I1662">
        <v>1328.62</v>
      </c>
      <c r="J1662">
        <v>2</v>
      </c>
      <c r="K1662">
        <v>1098.8399999999999</v>
      </c>
    </row>
    <row r="1663" spans="1:11" x14ac:dyDescent="0.3">
      <c r="A1663" s="1">
        <v>44938</v>
      </c>
      <c r="B1663" t="s">
        <v>21</v>
      </c>
      <c r="C1663" t="s">
        <v>12</v>
      </c>
      <c r="D1663" t="s">
        <v>25</v>
      </c>
      <c r="E1663" t="s">
        <v>14</v>
      </c>
      <c r="F1663" t="s">
        <v>16</v>
      </c>
      <c r="G1663">
        <v>130.13999999999999</v>
      </c>
      <c r="H1663">
        <v>11</v>
      </c>
      <c r="I1663">
        <v>714.56</v>
      </c>
      <c r="J1663">
        <v>0</v>
      </c>
      <c r="K1663">
        <v>584.41999999999996</v>
      </c>
    </row>
    <row r="1664" spans="1:11" x14ac:dyDescent="0.3">
      <c r="A1664" s="1">
        <v>45095</v>
      </c>
      <c r="B1664" t="s">
        <v>17</v>
      </c>
      <c r="C1664" t="s">
        <v>12</v>
      </c>
      <c r="D1664" t="s">
        <v>25</v>
      </c>
      <c r="E1664" t="s">
        <v>14</v>
      </c>
      <c r="F1664" t="s">
        <v>15</v>
      </c>
      <c r="G1664">
        <v>174.15</v>
      </c>
      <c r="H1664">
        <v>3</v>
      </c>
      <c r="I1664">
        <v>32.07</v>
      </c>
      <c r="J1664">
        <v>2</v>
      </c>
      <c r="K1664">
        <v>-163.51</v>
      </c>
    </row>
    <row r="1665" spans="1:11" x14ac:dyDescent="0.3">
      <c r="A1665" s="1">
        <v>45143</v>
      </c>
      <c r="B1665" t="s">
        <v>17</v>
      </c>
      <c r="C1665" t="s">
        <v>24</v>
      </c>
      <c r="D1665" t="s">
        <v>13</v>
      </c>
      <c r="E1665" t="s">
        <v>20</v>
      </c>
      <c r="F1665" t="s">
        <v>22</v>
      </c>
      <c r="G1665">
        <v>199.2</v>
      </c>
      <c r="H1665">
        <v>12</v>
      </c>
      <c r="I1665">
        <v>164.73</v>
      </c>
      <c r="J1665">
        <v>0</v>
      </c>
      <c r="K1665">
        <v>-34.47</v>
      </c>
    </row>
    <row r="1666" spans="1:11" x14ac:dyDescent="0.3">
      <c r="A1666" s="1">
        <v>44964</v>
      </c>
      <c r="B1666" t="s">
        <v>21</v>
      </c>
      <c r="C1666" t="s">
        <v>12</v>
      </c>
      <c r="D1666" t="s">
        <v>28</v>
      </c>
      <c r="E1666" t="s">
        <v>20</v>
      </c>
      <c r="F1666" t="s">
        <v>16</v>
      </c>
      <c r="G1666">
        <v>90.2</v>
      </c>
      <c r="H1666">
        <v>11</v>
      </c>
      <c r="I1666">
        <v>1092.1199999999999</v>
      </c>
      <c r="J1666">
        <v>1</v>
      </c>
      <c r="K1666">
        <v>989.34</v>
      </c>
    </row>
    <row r="1667" spans="1:11" x14ac:dyDescent="0.3">
      <c r="A1667" s="1">
        <v>45142</v>
      </c>
      <c r="B1667" t="s">
        <v>17</v>
      </c>
      <c r="C1667" t="s">
        <v>12</v>
      </c>
      <c r="D1667" t="s">
        <v>25</v>
      </c>
      <c r="E1667" t="s">
        <v>20</v>
      </c>
      <c r="F1667" t="s">
        <v>16</v>
      </c>
      <c r="G1667">
        <v>131.13</v>
      </c>
      <c r="H1667">
        <v>3</v>
      </c>
      <c r="I1667">
        <v>293.06</v>
      </c>
      <c r="J1667">
        <v>0</v>
      </c>
      <c r="K1667">
        <v>161.93</v>
      </c>
    </row>
    <row r="1668" spans="1:11" x14ac:dyDescent="0.3">
      <c r="A1668" s="1">
        <v>45022</v>
      </c>
      <c r="B1668" t="s">
        <v>11</v>
      </c>
      <c r="C1668" t="s">
        <v>24</v>
      </c>
      <c r="D1668" t="s">
        <v>28</v>
      </c>
      <c r="E1668" t="s">
        <v>14</v>
      </c>
      <c r="F1668" t="s">
        <v>22</v>
      </c>
      <c r="G1668">
        <v>170.05</v>
      </c>
      <c r="H1668">
        <v>1</v>
      </c>
      <c r="I1668">
        <v>86.01</v>
      </c>
      <c r="J1668">
        <v>1</v>
      </c>
      <c r="K1668">
        <v>-95</v>
      </c>
    </row>
    <row r="1669" spans="1:11" x14ac:dyDescent="0.3">
      <c r="A1669" s="1">
        <v>45200</v>
      </c>
      <c r="B1669" t="s">
        <v>23</v>
      </c>
      <c r="C1669" t="s">
        <v>29</v>
      </c>
      <c r="D1669" t="s">
        <v>25</v>
      </c>
      <c r="E1669" t="s">
        <v>20</v>
      </c>
      <c r="F1669" t="s">
        <v>15</v>
      </c>
      <c r="G1669">
        <v>30.91</v>
      </c>
      <c r="H1669">
        <v>16</v>
      </c>
      <c r="I1669">
        <v>595.29999999999995</v>
      </c>
      <c r="J1669">
        <v>1</v>
      </c>
      <c r="K1669">
        <v>536.32000000000005</v>
      </c>
    </row>
    <row r="1670" spans="1:11" x14ac:dyDescent="0.3">
      <c r="A1670" s="1">
        <v>44972</v>
      </c>
      <c r="B1670" t="s">
        <v>21</v>
      </c>
      <c r="C1670" t="s">
        <v>24</v>
      </c>
      <c r="D1670" t="s">
        <v>27</v>
      </c>
      <c r="E1670" t="s">
        <v>14</v>
      </c>
      <c r="F1670" t="s">
        <v>26</v>
      </c>
      <c r="G1670">
        <v>129.57</v>
      </c>
      <c r="H1670">
        <v>4</v>
      </c>
      <c r="I1670">
        <v>397.19</v>
      </c>
      <c r="J1670">
        <v>0</v>
      </c>
      <c r="K1670">
        <v>267.62</v>
      </c>
    </row>
    <row r="1671" spans="1:11" x14ac:dyDescent="0.3">
      <c r="A1671" s="1">
        <v>45075</v>
      </c>
      <c r="B1671" t="s">
        <v>11</v>
      </c>
      <c r="C1671" t="s">
        <v>18</v>
      </c>
      <c r="D1671" t="s">
        <v>28</v>
      </c>
      <c r="E1671" t="s">
        <v>14</v>
      </c>
      <c r="F1671" t="s">
        <v>26</v>
      </c>
      <c r="G1671">
        <v>29.95</v>
      </c>
      <c r="H1671">
        <v>13</v>
      </c>
      <c r="I1671">
        <v>984.36</v>
      </c>
      <c r="J1671">
        <v>0</v>
      </c>
      <c r="K1671">
        <v>954.41</v>
      </c>
    </row>
    <row r="1672" spans="1:11" x14ac:dyDescent="0.3">
      <c r="A1672" s="1">
        <v>45091</v>
      </c>
      <c r="B1672" t="s">
        <v>17</v>
      </c>
      <c r="C1672" t="s">
        <v>24</v>
      </c>
      <c r="D1672" t="s">
        <v>19</v>
      </c>
      <c r="E1672" t="s">
        <v>20</v>
      </c>
      <c r="F1672" t="s">
        <v>16</v>
      </c>
      <c r="G1672">
        <v>114.78</v>
      </c>
      <c r="H1672">
        <v>6</v>
      </c>
      <c r="I1672">
        <v>116.4</v>
      </c>
      <c r="J1672">
        <v>1</v>
      </c>
      <c r="K1672">
        <v>-46.8</v>
      </c>
    </row>
    <row r="1673" spans="1:11" x14ac:dyDescent="0.3">
      <c r="A1673" s="1">
        <v>44953</v>
      </c>
      <c r="B1673" t="s">
        <v>21</v>
      </c>
      <c r="C1673" t="s">
        <v>29</v>
      </c>
      <c r="D1673" t="s">
        <v>25</v>
      </c>
      <c r="E1673" t="s">
        <v>20</v>
      </c>
      <c r="F1673" t="s">
        <v>26</v>
      </c>
      <c r="G1673">
        <v>125.24</v>
      </c>
      <c r="H1673">
        <v>1</v>
      </c>
      <c r="I1673">
        <v>11.13</v>
      </c>
      <c r="J1673">
        <v>1</v>
      </c>
      <c r="K1673">
        <v>-146</v>
      </c>
    </row>
    <row r="1674" spans="1:11" x14ac:dyDescent="0.3">
      <c r="A1674" s="1">
        <v>45131</v>
      </c>
      <c r="B1674" t="s">
        <v>17</v>
      </c>
      <c r="C1674" t="s">
        <v>12</v>
      </c>
      <c r="D1674" t="s">
        <v>13</v>
      </c>
      <c r="E1674" t="s">
        <v>20</v>
      </c>
      <c r="F1674" t="s">
        <v>26</v>
      </c>
      <c r="G1674">
        <v>121.17</v>
      </c>
      <c r="H1674">
        <v>8</v>
      </c>
      <c r="I1674">
        <v>501.91</v>
      </c>
      <c r="J1674">
        <v>2</v>
      </c>
      <c r="K1674">
        <v>291.58</v>
      </c>
    </row>
    <row r="1675" spans="1:11" x14ac:dyDescent="0.3">
      <c r="A1675" s="1">
        <v>45290</v>
      </c>
      <c r="B1675" t="s">
        <v>21</v>
      </c>
      <c r="C1675" t="s">
        <v>12</v>
      </c>
      <c r="D1675" t="s">
        <v>28</v>
      </c>
      <c r="E1675" t="s">
        <v>14</v>
      </c>
      <c r="F1675" t="s">
        <v>26</v>
      </c>
      <c r="G1675">
        <v>27.78</v>
      </c>
      <c r="H1675">
        <v>18</v>
      </c>
      <c r="I1675">
        <v>1357.26</v>
      </c>
      <c r="J1675">
        <v>2</v>
      </c>
      <c r="K1675">
        <v>1288.1400000000001</v>
      </c>
    </row>
    <row r="1676" spans="1:11" x14ac:dyDescent="0.3">
      <c r="A1676" s="1">
        <v>44967</v>
      </c>
      <c r="B1676" t="s">
        <v>21</v>
      </c>
      <c r="C1676" t="s">
        <v>24</v>
      </c>
      <c r="D1676" t="s">
        <v>28</v>
      </c>
      <c r="E1676" t="s">
        <v>20</v>
      </c>
      <c r="F1676" t="s">
        <v>22</v>
      </c>
      <c r="G1676">
        <v>141.62</v>
      </c>
      <c r="H1676">
        <v>7</v>
      </c>
      <c r="I1676">
        <v>272.95999999999998</v>
      </c>
      <c r="J1676">
        <v>3</v>
      </c>
      <c r="K1676">
        <v>34.42</v>
      </c>
    </row>
    <row r="1677" spans="1:11" x14ac:dyDescent="0.3">
      <c r="A1677" s="1">
        <v>45110</v>
      </c>
      <c r="B1677" t="s">
        <v>17</v>
      </c>
      <c r="C1677" t="s">
        <v>29</v>
      </c>
      <c r="D1677" t="s">
        <v>19</v>
      </c>
      <c r="E1677" t="s">
        <v>14</v>
      </c>
      <c r="F1677" t="s">
        <v>22</v>
      </c>
      <c r="G1677">
        <v>63.78</v>
      </c>
      <c r="H1677">
        <v>15</v>
      </c>
      <c r="I1677">
        <v>241.86</v>
      </c>
      <c r="J1677">
        <v>1</v>
      </c>
      <c r="K1677">
        <v>156.59</v>
      </c>
    </row>
    <row r="1678" spans="1:11" x14ac:dyDescent="0.3">
      <c r="A1678" s="1">
        <v>45143</v>
      </c>
      <c r="B1678" t="s">
        <v>17</v>
      </c>
      <c r="C1678" t="s">
        <v>18</v>
      </c>
      <c r="D1678" t="s">
        <v>27</v>
      </c>
      <c r="E1678" t="s">
        <v>14</v>
      </c>
      <c r="F1678" t="s">
        <v>22</v>
      </c>
      <c r="G1678">
        <v>11.36</v>
      </c>
      <c r="H1678">
        <v>3</v>
      </c>
      <c r="I1678">
        <v>197.37</v>
      </c>
      <c r="J1678">
        <v>0</v>
      </c>
      <c r="K1678">
        <v>186.01</v>
      </c>
    </row>
    <row r="1679" spans="1:11" x14ac:dyDescent="0.3">
      <c r="A1679" s="1">
        <v>45179</v>
      </c>
      <c r="B1679" t="s">
        <v>23</v>
      </c>
      <c r="C1679" t="s">
        <v>12</v>
      </c>
      <c r="D1679" t="s">
        <v>25</v>
      </c>
      <c r="E1679" t="s">
        <v>20</v>
      </c>
      <c r="F1679" t="s">
        <v>15</v>
      </c>
      <c r="G1679">
        <v>116.83</v>
      </c>
      <c r="H1679">
        <v>11</v>
      </c>
      <c r="I1679">
        <v>338.06</v>
      </c>
      <c r="J1679">
        <v>0</v>
      </c>
      <c r="K1679">
        <v>221.23</v>
      </c>
    </row>
    <row r="1680" spans="1:11" x14ac:dyDescent="0.3">
      <c r="A1680" s="1">
        <v>45279</v>
      </c>
      <c r="B1680" t="s">
        <v>21</v>
      </c>
      <c r="C1680" t="s">
        <v>12</v>
      </c>
      <c r="D1680" t="s">
        <v>19</v>
      </c>
      <c r="E1680" t="s">
        <v>14</v>
      </c>
      <c r="F1680" t="s">
        <v>15</v>
      </c>
      <c r="G1680">
        <v>54.83</v>
      </c>
      <c r="H1680">
        <v>8</v>
      </c>
      <c r="I1680">
        <v>96.66</v>
      </c>
      <c r="J1680">
        <v>3</v>
      </c>
      <c r="K1680">
        <v>15.8</v>
      </c>
    </row>
    <row r="1681" spans="1:11" x14ac:dyDescent="0.3">
      <c r="A1681" s="1">
        <v>45239</v>
      </c>
      <c r="B1681" t="s">
        <v>23</v>
      </c>
      <c r="C1681" t="s">
        <v>29</v>
      </c>
      <c r="D1681" t="s">
        <v>19</v>
      </c>
      <c r="E1681" t="s">
        <v>14</v>
      </c>
      <c r="F1681" t="s">
        <v>26</v>
      </c>
      <c r="G1681">
        <v>92.57</v>
      </c>
      <c r="H1681">
        <v>16</v>
      </c>
      <c r="I1681">
        <v>163.63</v>
      </c>
      <c r="J1681">
        <v>2</v>
      </c>
      <c r="K1681">
        <v>58</v>
      </c>
    </row>
    <row r="1682" spans="1:11" x14ac:dyDescent="0.3">
      <c r="A1682" s="1">
        <v>45030</v>
      </c>
      <c r="B1682" t="s">
        <v>11</v>
      </c>
      <c r="C1682" t="s">
        <v>18</v>
      </c>
      <c r="D1682" t="s">
        <v>27</v>
      </c>
      <c r="E1682" t="s">
        <v>14</v>
      </c>
      <c r="F1682" t="s">
        <v>26</v>
      </c>
      <c r="G1682">
        <v>198.83</v>
      </c>
      <c r="H1682">
        <v>7</v>
      </c>
      <c r="I1682">
        <v>421.43</v>
      </c>
      <c r="J1682">
        <v>3</v>
      </c>
      <c r="K1682">
        <v>164.14</v>
      </c>
    </row>
    <row r="1683" spans="1:11" x14ac:dyDescent="0.3">
      <c r="A1683" s="1">
        <v>45125</v>
      </c>
      <c r="B1683" t="s">
        <v>17</v>
      </c>
      <c r="C1683" t="s">
        <v>24</v>
      </c>
      <c r="D1683" t="s">
        <v>19</v>
      </c>
      <c r="E1683" t="s">
        <v>20</v>
      </c>
      <c r="F1683" t="s">
        <v>22</v>
      </c>
      <c r="G1683">
        <v>21.52</v>
      </c>
      <c r="H1683">
        <v>18</v>
      </c>
      <c r="I1683">
        <v>836.3</v>
      </c>
      <c r="J1683">
        <v>2</v>
      </c>
      <c r="K1683">
        <v>757.73</v>
      </c>
    </row>
    <row r="1684" spans="1:11" x14ac:dyDescent="0.3">
      <c r="A1684" s="1">
        <v>45270</v>
      </c>
      <c r="B1684" t="s">
        <v>21</v>
      </c>
      <c r="C1684" t="s">
        <v>24</v>
      </c>
      <c r="D1684" t="s">
        <v>13</v>
      </c>
      <c r="E1684" t="s">
        <v>14</v>
      </c>
      <c r="F1684" t="s">
        <v>22</v>
      </c>
      <c r="G1684">
        <v>161.06</v>
      </c>
      <c r="H1684">
        <v>10</v>
      </c>
      <c r="I1684">
        <v>577.66</v>
      </c>
      <c r="J1684">
        <v>0</v>
      </c>
      <c r="K1684">
        <v>416.6</v>
      </c>
    </row>
    <row r="1685" spans="1:11" x14ac:dyDescent="0.3">
      <c r="A1685" s="1">
        <v>45205</v>
      </c>
      <c r="B1685" t="s">
        <v>23</v>
      </c>
      <c r="C1685" t="s">
        <v>29</v>
      </c>
      <c r="D1685" t="s">
        <v>28</v>
      </c>
      <c r="E1685" t="s">
        <v>20</v>
      </c>
      <c r="F1685" t="s">
        <v>26</v>
      </c>
      <c r="G1685">
        <v>95.21</v>
      </c>
      <c r="H1685">
        <v>5</v>
      </c>
      <c r="I1685">
        <v>163.9</v>
      </c>
      <c r="J1685">
        <v>0</v>
      </c>
      <c r="K1685">
        <v>68.69</v>
      </c>
    </row>
    <row r="1686" spans="1:11" x14ac:dyDescent="0.3">
      <c r="A1686" s="1">
        <v>45058</v>
      </c>
      <c r="B1686" t="s">
        <v>11</v>
      </c>
      <c r="C1686" t="s">
        <v>18</v>
      </c>
      <c r="D1686" t="s">
        <v>27</v>
      </c>
      <c r="E1686" t="s">
        <v>20</v>
      </c>
      <c r="F1686" t="s">
        <v>15</v>
      </c>
      <c r="G1686">
        <v>17.47</v>
      </c>
      <c r="H1686">
        <v>9</v>
      </c>
      <c r="I1686">
        <v>101.42</v>
      </c>
      <c r="J1686">
        <v>2</v>
      </c>
      <c r="K1686">
        <v>38.299999999999997</v>
      </c>
    </row>
    <row r="1687" spans="1:11" x14ac:dyDescent="0.3">
      <c r="A1687" s="1">
        <v>45087</v>
      </c>
      <c r="B1687" t="s">
        <v>17</v>
      </c>
      <c r="C1687" t="s">
        <v>24</v>
      </c>
      <c r="D1687" t="s">
        <v>19</v>
      </c>
      <c r="E1687" t="s">
        <v>20</v>
      </c>
      <c r="F1687" t="s">
        <v>15</v>
      </c>
      <c r="G1687">
        <v>37.22</v>
      </c>
      <c r="H1687">
        <v>17</v>
      </c>
      <c r="I1687">
        <v>1242.32</v>
      </c>
      <c r="J1687">
        <v>2</v>
      </c>
      <c r="K1687">
        <v>1189.47</v>
      </c>
    </row>
    <row r="1688" spans="1:11" x14ac:dyDescent="0.3">
      <c r="A1688" s="1">
        <v>45163</v>
      </c>
      <c r="B1688" t="s">
        <v>17</v>
      </c>
      <c r="C1688" t="s">
        <v>18</v>
      </c>
      <c r="D1688" t="s">
        <v>27</v>
      </c>
      <c r="E1688" t="s">
        <v>14</v>
      </c>
      <c r="F1688" t="s">
        <v>15</v>
      </c>
      <c r="G1688">
        <v>143.59</v>
      </c>
      <c r="H1688">
        <v>2</v>
      </c>
      <c r="I1688">
        <v>152.19</v>
      </c>
      <c r="J1688">
        <v>1</v>
      </c>
      <c r="K1688">
        <v>-30.13</v>
      </c>
    </row>
    <row r="1689" spans="1:11" x14ac:dyDescent="0.3">
      <c r="A1689" s="1">
        <v>45278</v>
      </c>
      <c r="B1689" t="s">
        <v>21</v>
      </c>
      <c r="C1689" t="s">
        <v>18</v>
      </c>
      <c r="D1689" t="s">
        <v>25</v>
      </c>
      <c r="E1689" t="s">
        <v>14</v>
      </c>
      <c r="F1689" t="s">
        <v>15</v>
      </c>
      <c r="G1689">
        <v>11.52</v>
      </c>
      <c r="H1689">
        <v>1</v>
      </c>
      <c r="I1689">
        <v>75.78</v>
      </c>
      <c r="J1689">
        <v>1</v>
      </c>
      <c r="K1689">
        <v>44.29</v>
      </c>
    </row>
    <row r="1690" spans="1:11" x14ac:dyDescent="0.3">
      <c r="A1690" s="1">
        <v>45096</v>
      </c>
      <c r="B1690" t="s">
        <v>17</v>
      </c>
      <c r="C1690" t="s">
        <v>18</v>
      </c>
      <c r="D1690" t="s">
        <v>13</v>
      </c>
      <c r="E1690" t="s">
        <v>20</v>
      </c>
      <c r="F1690" t="s">
        <v>16</v>
      </c>
      <c r="G1690">
        <v>170.16</v>
      </c>
      <c r="H1690">
        <v>15</v>
      </c>
      <c r="I1690">
        <v>713.56</v>
      </c>
      <c r="J1690">
        <v>1</v>
      </c>
      <c r="K1690">
        <v>534.79999999999995</v>
      </c>
    </row>
    <row r="1691" spans="1:11" x14ac:dyDescent="0.3">
      <c r="A1691" s="1">
        <v>45010</v>
      </c>
      <c r="B1691" t="s">
        <v>11</v>
      </c>
      <c r="C1691" t="s">
        <v>29</v>
      </c>
      <c r="D1691" t="s">
        <v>27</v>
      </c>
      <c r="E1691" t="s">
        <v>20</v>
      </c>
      <c r="F1691" t="s">
        <v>22</v>
      </c>
      <c r="G1691">
        <v>143.97</v>
      </c>
      <c r="H1691">
        <v>9</v>
      </c>
      <c r="I1691">
        <v>545.04</v>
      </c>
      <c r="J1691">
        <v>0</v>
      </c>
      <c r="K1691">
        <v>401.07</v>
      </c>
    </row>
    <row r="1692" spans="1:11" x14ac:dyDescent="0.3">
      <c r="A1692" s="1">
        <v>44964</v>
      </c>
      <c r="B1692" t="s">
        <v>21</v>
      </c>
      <c r="C1692" t="s">
        <v>24</v>
      </c>
      <c r="D1692" t="s">
        <v>25</v>
      </c>
      <c r="E1692" t="s">
        <v>14</v>
      </c>
      <c r="F1692" t="s">
        <v>15</v>
      </c>
      <c r="G1692">
        <v>158.38</v>
      </c>
      <c r="H1692">
        <v>18</v>
      </c>
      <c r="I1692">
        <v>1674.89</v>
      </c>
      <c r="J1692">
        <v>2</v>
      </c>
      <c r="K1692">
        <v>1496.92</v>
      </c>
    </row>
    <row r="1693" spans="1:11" x14ac:dyDescent="0.3">
      <c r="A1693" s="1">
        <v>45201</v>
      </c>
      <c r="B1693" t="s">
        <v>23</v>
      </c>
      <c r="C1693" t="s">
        <v>24</v>
      </c>
      <c r="D1693" t="s">
        <v>27</v>
      </c>
      <c r="E1693" t="s">
        <v>14</v>
      </c>
      <c r="F1693" t="s">
        <v>15</v>
      </c>
      <c r="G1693">
        <v>168.22</v>
      </c>
      <c r="H1693">
        <v>19</v>
      </c>
      <c r="I1693">
        <v>1785.98</v>
      </c>
      <c r="J1693">
        <v>2</v>
      </c>
      <c r="K1693">
        <v>1538.66</v>
      </c>
    </row>
    <row r="1694" spans="1:11" x14ac:dyDescent="0.3">
      <c r="A1694" s="1">
        <v>45020</v>
      </c>
      <c r="B1694" t="s">
        <v>11</v>
      </c>
      <c r="C1694" t="s">
        <v>18</v>
      </c>
      <c r="D1694" t="s">
        <v>19</v>
      </c>
      <c r="E1694" t="s">
        <v>14</v>
      </c>
      <c r="F1694" t="s">
        <v>26</v>
      </c>
      <c r="G1694">
        <v>154.41999999999999</v>
      </c>
      <c r="H1694">
        <v>16</v>
      </c>
      <c r="I1694">
        <v>754.76</v>
      </c>
      <c r="J1694">
        <v>2</v>
      </c>
      <c r="K1694">
        <v>579.98</v>
      </c>
    </row>
    <row r="1695" spans="1:11" x14ac:dyDescent="0.3">
      <c r="A1695" s="1">
        <v>44994</v>
      </c>
      <c r="B1695" t="s">
        <v>11</v>
      </c>
      <c r="C1695" t="s">
        <v>12</v>
      </c>
      <c r="D1695" t="s">
        <v>19</v>
      </c>
      <c r="E1695" t="s">
        <v>14</v>
      </c>
      <c r="F1695" t="s">
        <v>26</v>
      </c>
      <c r="G1695">
        <v>85.58</v>
      </c>
      <c r="H1695">
        <v>17</v>
      </c>
      <c r="I1695">
        <v>681.94</v>
      </c>
      <c r="J1695">
        <v>2</v>
      </c>
      <c r="K1695">
        <v>502.58</v>
      </c>
    </row>
    <row r="1696" spans="1:11" x14ac:dyDescent="0.3">
      <c r="A1696" s="1">
        <v>45029</v>
      </c>
      <c r="B1696" t="s">
        <v>11</v>
      </c>
      <c r="C1696" t="s">
        <v>29</v>
      </c>
      <c r="D1696" t="s">
        <v>13</v>
      </c>
      <c r="E1696" t="s">
        <v>14</v>
      </c>
      <c r="F1696" t="s">
        <v>22</v>
      </c>
      <c r="G1696">
        <v>6.23</v>
      </c>
      <c r="H1696">
        <v>16</v>
      </c>
      <c r="I1696">
        <v>1244.92</v>
      </c>
      <c r="J1696">
        <v>2</v>
      </c>
      <c r="K1696">
        <v>1201.17</v>
      </c>
    </row>
    <row r="1697" spans="1:11" x14ac:dyDescent="0.3">
      <c r="A1697" s="1">
        <v>45211</v>
      </c>
      <c r="B1697" t="s">
        <v>23</v>
      </c>
      <c r="C1697" t="s">
        <v>12</v>
      </c>
      <c r="D1697" t="s">
        <v>13</v>
      </c>
      <c r="E1697" t="s">
        <v>20</v>
      </c>
      <c r="F1697" t="s">
        <v>26</v>
      </c>
      <c r="G1697">
        <v>111.48</v>
      </c>
      <c r="H1697">
        <v>3</v>
      </c>
      <c r="I1697">
        <v>124.53</v>
      </c>
      <c r="J1697">
        <v>2</v>
      </c>
      <c r="K1697">
        <v>-3.73</v>
      </c>
    </row>
    <row r="1698" spans="1:11" x14ac:dyDescent="0.3">
      <c r="A1698" s="1">
        <v>45087</v>
      </c>
      <c r="B1698" t="s">
        <v>17</v>
      </c>
      <c r="C1698" t="s">
        <v>29</v>
      </c>
      <c r="D1698" t="s">
        <v>25</v>
      </c>
      <c r="E1698" t="s">
        <v>14</v>
      </c>
      <c r="F1698" t="s">
        <v>22</v>
      </c>
      <c r="G1698">
        <v>168.71</v>
      </c>
      <c r="H1698">
        <v>4</v>
      </c>
      <c r="I1698">
        <v>73.31</v>
      </c>
      <c r="J1698">
        <v>1</v>
      </c>
      <c r="K1698">
        <v>-142</v>
      </c>
    </row>
    <row r="1699" spans="1:11" x14ac:dyDescent="0.3">
      <c r="A1699" s="1">
        <v>45228</v>
      </c>
      <c r="B1699" t="s">
        <v>23</v>
      </c>
      <c r="C1699" t="s">
        <v>29</v>
      </c>
      <c r="D1699" t="s">
        <v>13</v>
      </c>
      <c r="E1699" t="s">
        <v>20</v>
      </c>
      <c r="F1699" t="s">
        <v>22</v>
      </c>
      <c r="G1699">
        <v>91.43</v>
      </c>
      <c r="H1699">
        <v>2</v>
      </c>
      <c r="I1699">
        <v>169.15</v>
      </c>
      <c r="J1699">
        <v>1</v>
      </c>
      <c r="K1699">
        <v>40.75</v>
      </c>
    </row>
    <row r="1700" spans="1:11" x14ac:dyDescent="0.3">
      <c r="A1700" s="1">
        <v>45151</v>
      </c>
      <c r="B1700" t="s">
        <v>17</v>
      </c>
      <c r="C1700" t="s">
        <v>12</v>
      </c>
      <c r="D1700" t="s">
        <v>28</v>
      </c>
      <c r="E1700" t="s">
        <v>20</v>
      </c>
      <c r="F1700" t="s">
        <v>15</v>
      </c>
      <c r="G1700">
        <v>70.38</v>
      </c>
      <c r="H1700">
        <v>3</v>
      </c>
      <c r="I1700">
        <v>265.51</v>
      </c>
      <c r="J1700">
        <v>1</v>
      </c>
      <c r="K1700">
        <v>181.22</v>
      </c>
    </row>
    <row r="1701" spans="1:11" x14ac:dyDescent="0.3">
      <c r="A1701" s="1">
        <v>44963</v>
      </c>
      <c r="B1701" t="s">
        <v>21</v>
      </c>
      <c r="C1701" t="s">
        <v>24</v>
      </c>
      <c r="D1701" t="s">
        <v>27</v>
      </c>
      <c r="E1701" t="s">
        <v>14</v>
      </c>
      <c r="F1701" t="s">
        <v>26</v>
      </c>
      <c r="G1701">
        <v>135.11000000000001</v>
      </c>
      <c r="H1701">
        <v>10</v>
      </c>
      <c r="I1701">
        <v>645.78</v>
      </c>
      <c r="J1701">
        <v>1</v>
      </c>
      <c r="K1701">
        <v>471.18</v>
      </c>
    </row>
    <row r="1702" spans="1:11" x14ac:dyDescent="0.3">
      <c r="A1702" s="1">
        <v>45177</v>
      </c>
      <c r="B1702" t="s">
        <v>23</v>
      </c>
      <c r="C1702" t="s">
        <v>18</v>
      </c>
      <c r="D1702" t="s">
        <v>25</v>
      </c>
      <c r="E1702" t="s">
        <v>14</v>
      </c>
      <c r="F1702" t="s">
        <v>16</v>
      </c>
      <c r="G1702">
        <v>147.02000000000001</v>
      </c>
      <c r="H1702">
        <v>19</v>
      </c>
      <c r="I1702">
        <v>1411.77</v>
      </c>
      <c r="J1702">
        <v>1</v>
      </c>
      <c r="K1702">
        <v>1228.93</v>
      </c>
    </row>
    <row r="1703" spans="1:11" x14ac:dyDescent="0.3">
      <c r="A1703" s="1">
        <v>45245</v>
      </c>
      <c r="B1703" t="s">
        <v>23</v>
      </c>
      <c r="C1703" t="s">
        <v>18</v>
      </c>
      <c r="D1703" t="s">
        <v>19</v>
      </c>
      <c r="E1703" t="s">
        <v>20</v>
      </c>
      <c r="F1703" t="s">
        <v>16</v>
      </c>
      <c r="G1703">
        <v>96.58</v>
      </c>
      <c r="H1703">
        <v>3</v>
      </c>
      <c r="I1703">
        <v>246.71</v>
      </c>
      <c r="J1703">
        <v>1</v>
      </c>
      <c r="K1703">
        <v>139.22999999999999</v>
      </c>
    </row>
    <row r="1704" spans="1:11" x14ac:dyDescent="0.3">
      <c r="A1704" s="1">
        <v>45013</v>
      </c>
      <c r="B1704" t="s">
        <v>11</v>
      </c>
      <c r="C1704" t="s">
        <v>24</v>
      </c>
      <c r="D1704" t="s">
        <v>13</v>
      </c>
      <c r="E1704" t="s">
        <v>14</v>
      </c>
      <c r="F1704" t="s">
        <v>15</v>
      </c>
      <c r="G1704">
        <v>10.55</v>
      </c>
      <c r="H1704">
        <v>17</v>
      </c>
      <c r="I1704">
        <v>498.78</v>
      </c>
      <c r="J1704">
        <v>1</v>
      </c>
      <c r="K1704">
        <v>478.2</v>
      </c>
    </row>
    <row r="1705" spans="1:11" x14ac:dyDescent="0.3">
      <c r="A1705" s="1">
        <v>45141</v>
      </c>
      <c r="B1705" t="s">
        <v>17</v>
      </c>
      <c r="C1705" t="s">
        <v>18</v>
      </c>
      <c r="D1705" t="s">
        <v>19</v>
      </c>
      <c r="E1705" t="s">
        <v>14</v>
      </c>
      <c r="F1705" t="s">
        <v>16</v>
      </c>
      <c r="G1705">
        <v>22.74</v>
      </c>
      <c r="H1705">
        <v>3</v>
      </c>
      <c r="I1705">
        <v>53.78</v>
      </c>
      <c r="J1705">
        <v>3</v>
      </c>
      <c r="K1705">
        <v>-46.76</v>
      </c>
    </row>
    <row r="1706" spans="1:11" x14ac:dyDescent="0.3">
      <c r="A1706" s="1">
        <v>44937</v>
      </c>
      <c r="B1706" t="s">
        <v>21</v>
      </c>
      <c r="C1706" t="s">
        <v>29</v>
      </c>
      <c r="D1706" t="s">
        <v>19</v>
      </c>
      <c r="E1706" t="s">
        <v>14</v>
      </c>
      <c r="F1706" t="s">
        <v>15</v>
      </c>
      <c r="G1706">
        <v>120.04</v>
      </c>
      <c r="H1706">
        <v>13</v>
      </c>
      <c r="I1706">
        <v>1022.01</v>
      </c>
      <c r="J1706">
        <v>1</v>
      </c>
      <c r="K1706">
        <v>889.26</v>
      </c>
    </row>
    <row r="1707" spans="1:11" x14ac:dyDescent="0.3">
      <c r="A1707" s="1">
        <v>45257</v>
      </c>
      <c r="B1707" t="s">
        <v>23</v>
      </c>
      <c r="C1707" t="s">
        <v>29</v>
      </c>
      <c r="D1707" t="s">
        <v>27</v>
      </c>
      <c r="E1707" t="s">
        <v>20</v>
      </c>
      <c r="F1707" t="s">
        <v>15</v>
      </c>
      <c r="G1707">
        <v>125.92</v>
      </c>
      <c r="H1707">
        <v>19</v>
      </c>
      <c r="I1707">
        <v>1142.46</v>
      </c>
      <c r="J1707">
        <v>2</v>
      </c>
      <c r="K1707">
        <v>956.59</v>
      </c>
    </row>
    <row r="1708" spans="1:11" x14ac:dyDescent="0.3">
      <c r="A1708" s="1">
        <v>44958</v>
      </c>
      <c r="B1708" t="s">
        <v>21</v>
      </c>
      <c r="C1708" t="s">
        <v>18</v>
      </c>
      <c r="D1708" t="s">
        <v>25</v>
      </c>
      <c r="E1708" t="s">
        <v>14</v>
      </c>
      <c r="F1708" t="s">
        <v>16</v>
      </c>
      <c r="G1708">
        <v>74.23</v>
      </c>
      <c r="H1708">
        <v>8</v>
      </c>
      <c r="I1708">
        <v>461.95</v>
      </c>
      <c r="J1708">
        <v>2</v>
      </c>
      <c r="K1708">
        <v>347.71</v>
      </c>
    </row>
    <row r="1709" spans="1:11" x14ac:dyDescent="0.3">
      <c r="A1709" s="1">
        <v>45045</v>
      </c>
      <c r="B1709" t="s">
        <v>11</v>
      </c>
      <c r="C1709" t="s">
        <v>12</v>
      </c>
      <c r="D1709" t="s">
        <v>28</v>
      </c>
      <c r="E1709" t="s">
        <v>14</v>
      </c>
      <c r="F1709" t="s">
        <v>16</v>
      </c>
      <c r="G1709">
        <v>110.69</v>
      </c>
      <c r="H1709">
        <v>9</v>
      </c>
      <c r="I1709">
        <v>670.4</v>
      </c>
      <c r="J1709">
        <v>1</v>
      </c>
      <c r="K1709">
        <v>542.6</v>
      </c>
    </row>
    <row r="1710" spans="1:11" x14ac:dyDescent="0.3">
      <c r="A1710" s="1">
        <v>45092</v>
      </c>
      <c r="B1710" t="s">
        <v>17</v>
      </c>
      <c r="C1710" t="s">
        <v>24</v>
      </c>
      <c r="D1710" t="s">
        <v>13</v>
      </c>
      <c r="E1710" t="s">
        <v>20</v>
      </c>
      <c r="F1710" t="s">
        <v>22</v>
      </c>
      <c r="G1710">
        <v>12.17</v>
      </c>
      <c r="H1710">
        <v>16</v>
      </c>
      <c r="I1710">
        <v>1529.25</v>
      </c>
      <c r="J1710">
        <v>1</v>
      </c>
      <c r="K1710">
        <v>1479.13</v>
      </c>
    </row>
    <row r="1711" spans="1:11" x14ac:dyDescent="0.3">
      <c r="A1711" s="1">
        <v>45267</v>
      </c>
      <c r="B1711" t="s">
        <v>21</v>
      </c>
      <c r="C1711" t="s">
        <v>24</v>
      </c>
      <c r="D1711" t="s">
        <v>27</v>
      </c>
      <c r="E1711" t="s">
        <v>14</v>
      </c>
      <c r="F1711" t="s">
        <v>15</v>
      </c>
      <c r="G1711">
        <v>94.66</v>
      </c>
      <c r="H1711">
        <v>9</v>
      </c>
      <c r="I1711">
        <v>739.79</v>
      </c>
      <c r="J1711">
        <v>0</v>
      </c>
      <c r="K1711">
        <v>645.13</v>
      </c>
    </row>
    <row r="1712" spans="1:11" x14ac:dyDescent="0.3">
      <c r="A1712" s="1">
        <v>45219</v>
      </c>
      <c r="B1712" t="s">
        <v>23</v>
      </c>
      <c r="C1712" t="s">
        <v>12</v>
      </c>
      <c r="D1712" t="s">
        <v>28</v>
      </c>
      <c r="E1712" t="s">
        <v>14</v>
      </c>
      <c r="F1712" t="s">
        <v>16</v>
      </c>
      <c r="G1712">
        <v>191.04</v>
      </c>
      <c r="H1712">
        <v>7</v>
      </c>
      <c r="I1712">
        <v>253.75</v>
      </c>
      <c r="J1712">
        <v>1</v>
      </c>
      <c r="K1712">
        <v>35.46</v>
      </c>
    </row>
    <row r="1713" spans="1:11" x14ac:dyDescent="0.3">
      <c r="A1713" s="1">
        <v>44996</v>
      </c>
      <c r="B1713" t="s">
        <v>11</v>
      </c>
      <c r="C1713" t="s">
        <v>18</v>
      </c>
      <c r="D1713" t="s">
        <v>25</v>
      </c>
      <c r="E1713" t="s">
        <v>20</v>
      </c>
      <c r="F1713" t="s">
        <v>26</v>
      </c>
      <c r="G1713">
        <v>75.680000000000007</v>
      </c>
      <c r="H1713">
        <v>4</v>
      </c>
      <c r="I1713">
        <v>220.79</v>
      </c>
      <c r="J1713">
        <v>0</v>
      </c>
      <c r="K1713">
        <v>145.11000000000001</v>
      </c>
    </row>
    <row r="1714" spans="1:11" x14ac:dyDescent="0.3">
      <c r="A1714" s="1">
        <v>45214</v>
      </c>
      <c r="B1714" t="s">
        <v>23</v>
      </c>
      <c r="C1714" t="s">
        <v>29</v>
      </c>
      <c r="D1714" t="s">
        <v>19</v>
      </c>
      <c r="E1714" t="s">
        <v>14</v>
      </c>
      <c r="F1714" t="s">
        <v>26</v>
      </c>
      <c r="G1714">
        <v>181.23</v>
      </c>
      <c r="H1714">
        <v>4</v>
      </c>
      <c r="I1714">
        <v>221.36</v>
      </c>
      <c r="J1714">
        <v>1</v>
      </c>
      <c r="K1714">
        <v>1.37</v>
      </c>
    </row>
    <row r="1715" spans="1:11" x14ac:dyDescent="0.3">
      <c r="A1715" s="1">
        <v>45116</v>
      </c>
      <c r="B1715" t="s">
        <v>17</v>
      </c>
      <c r="C1715" t="s">
        <v>18</v>
      </c>
      <c r="D1715" t="s">
        <v>13</v>
      </c>
      <c r="E1715" t="s">
        <v>20</v>
      </c>
      <c r="F1715" t="s">
        <v>15</v>
      </c>
      <c r="G1715">
        <v>101.55</v>
      </c>
      <c r="H1715">
        <v>18</v>
      </c>
      <c r="I1715">
        <v>293.83</v>
      </c>
      <c r="J1715">
        <v>3</v>
      </c>
      <c r="K1715">
        <v>48.64</v>
      </c>
    </row>
    <row r="1716" spans="1:11" x14ac:dyDescent="0.3">
      <c r="A1716" s="1">
        <v>45151</v>
      </c>
      <c r="B1716" t="s">
        <v>17</v>
      </c>
      <c r="C1716" t="s">
        <v>29</v>
      </c>
      <c r="D1716" t="s">
        <v>13</v>
      </c>
      <c r="E1716" t="s">
        <v>14</v>
      </c>
      <c r="F1716" t="s">
        <v>22</v>
      </c>
      <c r="G1716">
        <v>77.510000000000005</v>
      </c>
      <c r="H1716">
        <v>1</v>
      </c>
      <c r="I1716">
        <v>45.31</v>
      </c>
      <c r="J1716">
        <v>1</v>
      </c>
      <c r="K1716">
        <v>-55.21</v>
      </c>
    </row>
    <row r="1717" spans="1:11" x14ac:dyDescent="0.3">
      <c r="A1717" s="1">
        <v>45069</v>
      </c>
      <c r="B1717" t="s">
        <v>11</v>
      </c>
      <c r="C1717" t="s">
        <v>12</v>
      </c>
      <c r="D1717" t="s">
        <v>28</v>
      </c>
      <c r="E1717" t="s">
        <v>14</v>
      </c>
      <c r="F1717" t="s">
        <v>22</v>
      </c>
      <c r="G1717">
        <v>152.04</v>
      </c>
      <c r="H1717">
        <v>8</v>
      </c>
      <c r="I1717">
        <v>252.65</v>
      </c>
      <c r="J1717">
        <v>2</v>
      </c>
      <c r="K1717">
        <v>67.06</v>
      </c>
    </row>
    <row r="1718" spans="1:11" x14ac:dyDescent="0.3">
      <c r="A1718" s="1">
        <v>45060</v>
      </c>
      <c r="B1718" t="s">
        <v>11</v>
      </c>
      <c r="C1718" t="s">
        <v>18</v>
      </c>
      <c r="D1718" t="s">
        <v>25</v>
      </c>
      <c r="E1718" t="s">
        <v>14</v>
      </c>
      <c r="F1718" t="s">
        <v>15</v>
      </c>
      <c r="G1718">
        <v>55.72</v>
      </c>
      <c r="H1718">
        <v>17</v>
      </c>
      <c r="I1718">
        <v>300.39999999999998</v>
      </c>
      <c r="J1718">
        <v>1</v>
      </c>
      <c r="K1718">
        <v>198.97</v>
      </c>
    </row>
    <row r="1719" spans="1:11" x14ac:dyDescent="0.3">
      <c r="A1719" s="1">
        <v>45149</v>
      </c>
      <c r="B1719" t="s">
        <v>17</v>
      </c>
      <c r="C1719" t="s">
        <v>24</v>
      </c>
      <c r="D1719" t="s">
        <v>19</v>
      </c>
      <c r="E1719" t="s">
        <v>14</v>
      </c>
      <c r="F1719" t="s">
        <v>26</v>
      </c>
      <c r="G1719">
        <v>196.48</v>
      </c>
      <c r="H1719">
        <v>4</v>
      </c>
      <c r="I1719">
        <v>46.48</v>
      </c>
      <c r="J1719">
        <v>3</v>
      </c>
      <c r="K1719">
        <v>-258.52999999999997</v>
      </c>
    </row>
    <row r="1720" spans="1:11" x14ac:dyDescent="0.3">
      <c r="A1720" s="1">
        <v>45220</v>
      </c>
      <c r="B1720" t="s">
        <v>23</v>
      </c>
      <c r="C1720" t="s">
        <v>12</v>
      </c>
      <c r="D1720" t="s">
        <v>25</v>
      </c>
      <c r="E1720" t="s">
        <v>14</v>
      </c>
      <c r="F1720" t="s">
        <v>15</v>
      </c>
      <c r="G1720">
        <v>34.520000000000003</v>
      </c>
      <c r="H1720">
        <v>3</v>
      </c>
      <c r="I1720">
        <v>53.79</v>
      </c>
      <c r="J1720">
        <v>0</v>
      </c>
      <c r="K1720">
        <v>19.27</v>
      </c>
    </row>
    <row r="1721" spans="1:11" x14ac:dyDescent="0.3">
      <c r="A1721" s="1">
        <v>45047</v>
      </c>
      <c r="B1721" t="s">
        <v>11</v>
      </c>
      <c r="C1721" t="s">
        <v>18</v>
      </c>
      <c r="D1721" t="s">
        <v>28</v>
      </c>
      <c r="E1721" t="s">
        <v>14</v>
      </c>
      <c r="F1721" t="s">
        <v>15</v>
      </c>
      <c r="G1721">
        <v>54.8</v>
      </c>
      <c r="H1721">
        <v>14</v>
      </c>
      <c r="I1721">
        <v>773.25</v>
      </c>
      <c r="J1721">
        <v>0</v>
      </c>
      <c r="K1721">
        <v>718.45</v>
      </c>
    </row>
    <row r="1722" spans="1:11" x14ac:dyDescent="0.3">
      <c r="A1722" s="1">
        <v>45203</v>
      </c>
      <c r="B1722" t="s">
        <v>23</v>
      </c>
      <c r="C1722" t="s">
        <v>24</v>
      </c>
      <c r="D1722" t="s">
        <v>19</v>
      </c>
      <c r="E1722" t="s">
        <v>20</v>
      </c>
      <c r="F1722" t="s">
        <v>16</v>
      </c>
      <c r="G1722">
        <v>15.47</v>
      </c>
      <c r="H1722">
        <v>7</v>
      </c>
      <c r="I1722">
        <v>123.53</v>
      </c>
      <c r="J1722">
        <v>0</v>
      </c>
      <c r="K1722">
        <v>108.06</v>
      </c>
    </row>
    <row r="1723" spans="1:11" x14ac:dyDescent="0.3">
      <c r="A1723" s="1">
        <v>45142</v>
      </c>
      <c r="B1723" t="s">
        <v>17</v>
      </c>
      <c r="C1723" t="s">
        <v>29</v>
      </c>
      <c r="D1723" t="s">
        <v>13</v>
      </c>
      <c r="E1723" t="s">
        <v>20</v>
      </c>
      <c r="F1723" t="s">
        <v>15</v>
      </c>
      <c r="G1723">
        <v>187.15</v>
      </c>
      <c r="H1723">
        <v>1</v>
      </c>
      <c r="I1723">
        <v>25.82</v>
      </c>
      <c r="J1723">
        <v>1</v>
      </c>
      <c r="K1723">
        <v>-203.4</v>
      </c>
    </row>
    <row r="1724" spans="1:11" x14ac:dyDescent="0.3">
      <c r="A1724" s="1">
        <v>45158</v>
      </c>
      <c r="B1724" t="s">
        <v>17</v>
      </c>
      <c r="C1724" t="s">
        <v>29</v>
      </c>
      <c r="D1724" t="s">
        <v>27</v>
      </c>
      <c r="E1724" t="s">
        <v>20</v>
      </c>
      <c r="F1724" t="s">
        <v>22</v>
      </c>
      <c r="G1724">
        <v>142.69</v>
      </c>
      <c r="H1724">
        <v>16</v>
      </c>
      <c r="I1724">
        <v>1049.2</v>
      </c>
      <c r="J1724">
        <v>2</v>
      </c>
      <c r="K1724">
        <v>855.46</v>
      </c>
    </row>
    <row r="1725" spans="1:11" x14ac:dyDescent="0.3">
      <c r="A1725" s="1">
        <v>45118</v>
      </c>
      <c r="B1725" t="s">
        <v>17</v>
      </c>
      <c r="C1725" t="s">
        <v>29</v>
      </c>
      <c r="D1725" t="s">
        <v>28</v>
      </c>
      <c r="E1725" t="s">
        <v>20</v>
      </c>
      <c r="F1725" t="s">
        <v>26</v>
      </c>
      <c r="G1725">
        <v>179.26</v>
      </c>
      <c r="H1725">
        <v>15</v>
      </c>
      <c r="I1725">
        <v>726.76</v>
      </c>
      <c r="J1725">
        <v>1</v>
      </c>
      <c r="K1725">
        <v>517.99</v>
      </c>
    </row>
    <row r="1726" spans="1:11" x14ac:dyDescent="0.3">
      <c r="A1726" s="1">
        <v>45156</v>
      </c>
      <c r="B1726" t="s">
        <v>17</v>
      </c>
      <c r="C1726" t="s">
        <v>18</v>
      </c>
      <c r="D1726" t="s">
        <v>28</v>
      </c>
      <c r="E1726" t="s">
        <v>14</v>
      </c>
      <c r="F1726" t="s">
        <v>15</v>
      </c>
      <c r="G1726">
        <v>17.100000000000001</v>
      </c>
      <c r="H1726">
        <v>16</v>
      </c>
      <c r="I1726">
        <v>1169.3</v>
      </c>
      <c r="J1726">
        <v>3</v>
      </c>
      <c r="K1726">
        <v>1116.44</v>
      </c>
    </row>
    <row r="1727" spans="1:11" x14ac:dyDescent="0.3">
      <c r="A1727" s="1">
        <v>44931</v>
      </c>
      <c r="B1727" t="s">
        <v>21</v>
      </c>
      <c r="C1727" t="s">
        <v>24</v>
      </c>
      <c r="D1727" t="s">
        <v>13</v>
      </c>
      <c r="E1727" t="s">
        <v>14</v>
      </c>
      <c r="F1727" t="s">
        <v>22</v>
      </c>
      <c r="G1727">
        <v>80.2</v>
      </c>
      <c r="H1727">
        <v>2</v>
      </c>
      <c r="I1727">
        <v>59.17</v>
      </c>
      <c r="J1727">
        <v>2</v>
      </c>
      <c r="K1727">
        <v>-78.98</v>
      </c>
    </row>
    <row r="1728" spans="1:11" x14ac:dyDescent="0.3">
      <c r="A1728" s="1">
        <v>45290</v>
      </c>
      <c r="B1728" t="s">
        <v>21</v>
      </c>
      <c r="C1728" t="s">
        <v>29</v>
      </c>
      <c r="D1728" t="s">
        <v>28</v>
      </c>
      <c r="E1728" t="s">
        <v>20</v>
      </c>
      <c r="F1728" t="s">
        <v>22</v>
      </c>
      <c r="G1728">
        <v>130.38999999999999</v>
      </c>
      <c r="H1728">
        <v>14</v>
      </c>
      <c r="I1728">
        <v>1350.71</v>
      </c>
      <c r="J1728">
        <v>0</v>
      </c>
      <c r="K1728">
        <v>1220.32</v>
      </c>
    </row>
    <row r="1729" spans="1:11" x14ac:dyDescent="0.3">
      <c r="A1729" s="1">
        <v>45196</v>
      </c>
      <c r="B1729" t="s">
        <v>23</v>
      </c>
      <c r="C1729" t="s">
        <v>24</v>
      </c>
      <c r="D1729" t="s">
        <v>28</v>
      </c>
      <c r="E1729" t="s">
        <v>20</v>
      </c>
      <c r="F1729" t="s">
        <v>15</v>
      </c>
      <c r="G1729">
        <v>46.2</v>
      </c>
      <c r="H1729">
        <v>19</v>
      </c>
      <c r="I1729">
        <v>1523.97</v>
      </c>
      <c r="J1729">
        <v>1</v>
      </c>
      <c r="K1729">
        <v>1432.76</v>
      </c>
    </row>
    <row r="1730" spans="1:11" x14ac:dyDescent="0.3">
      <c r="A1730" s="1">
        <v>45260</v>
      </c>
      <c r="B1730" t="s">
        <v>23</v>
      </c>
      <c r="C1730" t="s">
        <v>29</v>
      </c>
      <c r="D1730" t="s">
        <v>13</v>
      </c>
      <c r="E1730" t="s">
        <v>20</v>
      </c>
      <c r="F1730" t="s">
        <v>22</v>
      </c>
      <c r="G1730">
        <v>90.57</v>
      </c>
      <c r="H1730">
        <v>10</v>
      </c>
      <c r="I1730">
        <v>736.73</v>
      </c>
      <c r="J1730">
        <v>3</v>
      </c>
      <c r="K1730">
        <v>617.66999999999996</v>
      </c>
    </row>
    <row r="1731" spans="1:11" x14ac:dyDescent="0.3">
      <c r="A1731" s="1">
        <v>45105</v>
      </c>
      <c r="B1731" t="s">
        <v>17</v>
      </c>
      <c r="C1731" t="s">
        <v>29</v>
      </c>
      <c r="D1731" t="s">
        <v>13</v>
      </c>
      <c r="E1731" t="s">
        <v>14</v>
      </c>
      <c r="F1731" t="s">
        <v>15</v>
      </c>
      <c r="G1731">
        <v>8.99</v>
      </c>
      <c r="H1731">
        <v>6</v>
      </c>
      <c r="I1731">
        <v>385.67</v>
      </c>
      <c r="J1731">
        <v>1</v>
      </c>
      <c r="K1731">
        <v>334.04</v>
      </c>
    </row>
    <row r="1732" spans="1:11" x14ac:dyDescent="0.3">
      <c r="A1732" s="1">
        <v>45104</v>
      </c>
      <c r="B1732" t="s">
        <v>17</v>
      </c>
      <c r="C1732" t="s">
        <v>24</v>
      </c>
      <c r="D1732" t="s">
        <v>19</v>
      </c>
      <c r="E1732" t="s">
        <v>14</v>
      </c>
      <c r="F1732" t="s">
        <v>15</v>
      </c>
      <c r="G1732">
        <v>119.54</v>
      </c>
      <c r="H1732">
        <v>10</v>
      </c>
      <c r="I1732">
        <v>704.96</v>
      </c>
      <c r="J1732">
        <v>3</v>
      </c>
      <c r="K1732">
        <v>555.55999999999995</v>
      </c>
    </row>
    <row r="1733" spans="1:11" x14ac:dyDescent="0.3">
      <c r="A1733" s="1">
        <v>45236</v>
      </c>
      <c r="B1733" t="s">
        <v>23</v>
      </c>
      <c r="C1733" t="s">
        <v>12</v>
      </c>
      <c r="D1733" t="s">
        <v>27</v>
      </c>
      <c r="E1733" t="s">
        <v>14</v>
      </c>
      <c r="F1733" t="s">
        <v>22</v>
      </c>
      <c r="G1733">
        <v>52.42</v>
      </c>
      <c r="H1733">
        <v>2</v>
      </c>
      <c r="I1733">
        <v>147.88</v>
      </c>
      <c r="J1733">
        <v>0</v>
      </c>
      <c r="K1733">
        <v>95.46</v>
      </c>
    </row>
    <row r="1734" spans="1:11" x14ac:dyDescent="0.3">
      <c r="A1734" s="1">
        <v>45064</v>
      </c>
      <c r="B1734" t="s">
        <v>11</v>
      </c>
      <c r="C1734" t="s">
        <v>18</v>
      </c>
      <c r="D1734" t="s">
        <v>13</v>
      </c>
      <c r="E1734" t="s">
        <v>14</v>
      </c>
      <c r="F1734" t="s">
        <v>22</v>
      </c>
      <c r="G1734">
        <v>184.78</v>
      </c>
      <c r="H1734">
        <v>5</v>
      </c>
      <c r="I1734">
        <v>223.16</v>
      </c>
      <c r="J1734">
        <v>0</v>
      </c>
      <c r="K1734">
        <v>38.380000000000003</v>
      </c>
    </row>
    <row r="1735" spans="1:11" x14ac:dyDescent="0.3">
      <c r="A1735" s="1">
        <v>45208</v>
      </c>
      <c r="B1735" t="s">
        <v>23</v>
      </c>
      <c r="C1735" t="s">
        <v>12</v>
      </c>
      <c r="D1735" t="s">
        <v>19</v>
      </c>
      <c r="E1735" t="s">
        <v>14</v>
      </c>
      <c r="F1735" t="s">
        <v>16</v>
      </c>
      <c r="G1735">
        <v>57.49</v>
      </c>
      <c r="H1735">
        <v>1</v>
      </c>
      <c r="I1735">
        <v>46.73</v>
      </c>
      <c r="J1735">
        <v>1</v>
      </c>
      <c r="K1735">
        <v>-31.09</v>
      </c>
    </row>
    <row r="1736" spans="1:11" x14ac:dyDescent="0.3">
      <c r="A1736" s="1">
        <v>45011</v>
      </c>
      <c r="B1736" t="s">
        <v>11</v>
      </c>
      <c r="C1736" t="s">
        <v>18</v>
      </c>
      <c r="D1736" t="s">
        <v>25</v>
      </c>
      <c r="E1736" t="s">
        <v>14</v>
      </c>
      <c r="F1736" t="s">
        <v>26</v>
      </c>
      <c r="G1736">
        <v>160.88999999999999</v>
      </c>
      <c r="H1736">
        <v>9</v>
      </c>
      <c r="I1736">
        <v>638.85</v>
      </c>
      <c r="J1736">
        <v>0</v>
      </c>
      <c r="K1736">
        <v>477.96</v>
      </c>
    </row>
    <row r="1737" spans="1:11" x14ac:dyDescent="0.3">
      <c r="A1737" s="1">
        <v>45025</v>
      </c>
      <c r="B1737" t="s">
        <v>11</v>
      </c>
      <c r="C1737" t="s">
        <v>29</v>
      </c>
      <c r="D1737" t="s">
        <v>19</v>
      </c>
      <c r="E1737" t="s">
        <v>20</v>
      </c>
      <c r="F1737" t="s">
        <v>15</v>
      </c>
      <c r="G1737">
        <v>85.31</v>
      </c>
      <c r="H1737">
        <v>1</v>
      </c>
      <c r="I1737">
        <v>21.31</v>
      </c>
      <c r="J1737">
        <v>1</v>
      </c>
      <c r="K1737">
        <v>-98.02</v>
      </c>
    </row>
    <row r="1738" spans="1:11" x14ac:dyDescent="0.3">
      <c r="A1738" s="1">
        <v>45141</v>
      </c>
      <c r="B1738" t="s">
        <v>17</v>
      </c>
      <c r="C1738" t="s">
        <v>29</v>
      </c>
      <c r="D1738" t="s">
        <v>19</v>
      </c>
      <c r="E1738" t="s">
        <v>20</v>
      </c>
      <c r="F1738" t="s">
        <v>22</v>
      </c>
      <c r="G1738">
        <v>57.03</v>
      </c>
      <c r="H1738">
        <v>16</v>
      </c>
      <c r="I1738">
        <v>1132.07</v>
      </c>
      <c r="J1738">
        <v>3</v>
      </c>
      <c r="K1738">
        <v>1003.94</v>
      </c>
    </row>
    <row r="1739" spans="1:11" x14ac:dyDescent="0.3">
      <c r="A1739" s="1">
        <v>45106</v>
      </c>
      <c r="B1739" t="s">
        <v>17</v>
      </c>
      <c r="C1739" t="s">
        <v>12</v>
      </c>
      <c r="D1739" t="s">
        <v>27</v>
      </c>
      <c r="E1739" t="s">
        <v>14</v>
      </c>
      <c r="F1739" t="s">
        <v>15</v>
      </c>
      <c r="G1739">
        <v>179.06</v>
      </c>
      <c r="H1739">
        <v>10</v>
      </c>
      <c r="I1739">
        <v>436.16</v>
      </c>
      <c r="J1739">
        <v>3</v>
      </c>
      <c r="K1739">
        <v>127.97</v>
      </c>
    </row>
    <row r="1740" spans="1:11" x14ac:dyDescent="0.3">
      <c r="A1740" s="1">
        <v>44982</v>
      </c>
      <c r="B1740" t="s">
        <v>21</v>
      </c>
      <c r="C1740" t="s">
        <v>29</v>
      </c>
      <c r="D1740" t="s">
        <v>28</v>
      </c>
      <c r="E1740" t="s">
        <v>20</v>
      </c>
      <c r="F1740" t="s">
        <v>15</v>
      </c>
      <c r="G1740">
        <v>120.08</v>
      </c>
      <c r="H1740">
        <v>8</v>
      </c>
      <c r="I1740">
        <v>407.07</v>
      </c>
      <c r="J1740">
        <v>2</v>
      </c>
      <c r="K1740">
        <v>275.58999999999997</v>
      </c>
    </row>
    <row r="1741" spans="1:11" x14ac:dyDescent="0.3">
      <c r="A1741" s="1">
        <v>45036</v>
      </c>
      <c r="B1741" t="s">
        <v>11</v>
      </c>
      <c r="C1741" t="s">
        <v>24</v>
      </c>
      <c r="D1741" t="s">
        <v>27</v>
      </c>
      <c r="E1741" t="s">
        <v>14</v>
      </c>
      <c r="F1741" t="s">
        <v>26</v>
      </c>
      <c r="G1741">
        <v>80.05</v>
      </c>
      <c r="H1741">
        <v>15</v>
      </c>
      <c r="I1741">
        <v>1067.6099999999999</v>
      </c>
      <c r="J1741">
        <v>3</v>
      </c>
      <c r="K1741">
        <v>878.93</v>
      </c>
    </row>
    <row r="1742" spans="1:11" x14ac:dyDescent="0.3">
      <c r="A1742" s="1">
        <v>44972</v>
      </c>
      <c r="B1742" t="s">
        <v>21</v>
      </c>
      <c r="C1742" t="s">
        <v>18</v>
      </c>
      <c r="D1742" t="s">
        <v>13</v>
      </c>
      <c r="E1742" t="s">
        <v>20</v>
      </c>
      <c r="F1742" t="s">
        <v>22</v>
      </c>
      <c r="G1742">
        <v>71.03</v>
      </c>
      <c r="H1742">
        <v>12</v>
      </c>
      <c r="I1742">
        <v>662.2</v>
      </c>
      <c r="J1742">
        <v>1</v>
      </c>
      <c r="K1742">
        <v>580.25</v>
      </c>
    </row>
    <row r="1743" spans="1:11" x14ac:dyDescent="0.3">
      <c r="A1743" s="1">
        <v>44981</v>
      </c>
      <c r="B1743" t="s">
        <v>21</v>
      </c>
      <c r="C1743" t="s">
        <v>29</v>
      </c>
      <c r="D1743" t="s">
        <v>19</v>
      </c>
      <c r="E1743" t="s">
        <v>20</v>
      </c>
      <c r="F1743" t="s">
        <v>16</v>
      </c>
      <c r="G1743">
        <v>167.9</v>
      </c>
      <c r="H1743">
        <v>14</v>
      </c>
      <c r="I1743">
        <v>792.58</v>
      </c>
      <c r="J1743">
        <v>2</v>
      </c>
      <c r="K1743">
        <v>608.75</v>
      </c>
    </row>
    <row r="1744" spans="1:11" x14ac:dyDescent="0.3">
      <c r="A1744" s="1">
        <v>45116</v>
      </c>
      <c r="B1744" t="s">
        <v>17</v>
      </c>
      <c r="C1744" t="s">
        <v>18</v>
      </c>
      <c r="D1744" t="s">
        <v>27</v>
      </c>
      <c r="E1744" t="s">
        <v>14</v>
      </c>
      <c r="F1744" t="s">
        <v>15</v>
      </c>
      <c r="G1744">
        <v>102.52</v>
      </c>
      <c r="H1744">
        <v>8</v>
      </c>
      <c r="I1744">
        <v>749.87</v>
      </c>
      <c r="J1744">
        <v>0</v>
      </c>
      <c r="K1744">
        <v>647.35</v>
      </c>
    </row>
    <row r="1745" spans="1:11" x14ac:dyDescent="0.3">
      <c r="A1745" s="1">
        <v>45096</v>
      </c>
      <c r="B1745" t="s">
        <v>17</v>
      </c>
      <c r="C1745" t="s">
        <v>29</v>
      </c>
      <c r="D1745" t="s">
        <v>27</v>
      </c>
      <c r="E1745" t="s">
        <v>20</v>
      </c>
      <c r="F1745" t="s">
        <v>15</v>
      </c>
      <c r="G1745">
        <v>154.22999999999999</v>
      </c>
      <c r="H1745">
        <v>19</v>
      </c>
      <c r="I1745">
        <v>697.65</v>
      </c>
      <c r="J1745">
        <v>1</v>
      </c>
      <c r="K1745">
        <v>508.34</v>
      </c>
    </row>
    <row r="1746" spans="1:11" x14ac:dyDescent="0.3">
      <c r="A1746" s="1">
        <v>44969</v>
      </c>
      <c r="B1746" t="s">
        <v>21</v>
      </c>
      <c r="C1746" t="s">
        <v>18</v>
      </c>
      <c r="D1746" t="s">
        <v>28</v>
      </c>
      <c r="E1746" t="s">
        <v>14</v>
      </c>
      <c r="F1746" t="s">
        <v>26</v>
      </c>
      <c r="G1746">
        <v>86.84</v>
      </c>
      <c r="H1746">
        <v>15</v>
      </c>
      <c r="I1746">
        <v>1128.42</v>
      </c>
      <c r="J1746">
        <v>1</v>
      </c>
      <c r="K1746">
        <v>1026.96</v>
      </c>
    </row>
    <row r="1747" spans="1:11" x14ac:dyDescent="0.3">
      <c r="A1747" s="1">
        <v>45241</v>
      </c>
      <c r="B1747" t="s">
        <v>23</v>
      </c>
      <c r="C1747" t="s">
        <v>12</v>
      </c>
      <c r="D1747" t="s">
        <v>25</v>
      </c>
      <c r="E1747" t="s">
        <v>20</v>
      </c>
      <c r="F1747" t="s">
        <v>22</v>
      </c>
      <c r="G1747">
        <v>27.9</v>
      </c>
      <c r="H1747">
        <v>4</v>
      </c>
      <c r="I1747">
        <v>252.05</v>
      </c>
      <c r="J1747">
        <v>1</v>
      </c>
      <c r="K1747">
        <v>213.06</v>
      </c>
    </row>
    <row r="1748" spans="1:11" x14ac:dyDescent="0.3">
      <c r="A1748" s="1">
        <v>45035</v>
      </c>
      <c r="B1748" t="s">
        <v>11</v>
      </c>
      <c r="C1748" t="s">
        <v>12</v>
      </c>
      <c r="D1748" t="s">
        <v>28</v>
      </c>
      <c r="E1748" t="s">
        <v>14</v>
      </c>
      <c r="F1748" t="s">
        <v>16</v>
      </c>
      <c r="G1748">
        <v>98.73</v>
      </c>
      <c r="H1748">
        <v>5</v>
      </c>
      <c r="I1748">
        <v>238.89</v>
      </c>
      <c r="J1748">
        <v>2</v>
      </c>
      <c r="K1748">
        <v>42.87</v>
      </c>
    </row>
    <row r="1749" spans="1:11" x14ac:dyDescent="0.3">
      <c r="A1749" s="1">
        <v>45063</v>
      </c>
      <c r="B1749" t="s">
        <v>11</v>
      </c>
      <c r="C1749" t="s">
        <v>29</v>
      </c>
      <c r="D1749" t="s">
        <v>27</v>
      </c>
      <c r="E1749" t="s">
        <v>14</v>
      </c>
      <c r="F1749" t="s">
        <v>16</v>
      </c>
      <c r="G1749">
        <v>84.9</v>
      </c>
      <c r="H1749">
        <v>8</v>
      </c>
      <c r="I1749">
        <v>200.67</v>
      </c>
      <c r="J1749">
        <v>0</v>
      </c>
      <c r="K1749">
        <v>115.77</v>
      </c>
    </row>
    <row r="1750" spans="1:11" x14ac:dyDescent="0.3">
      <c r="A1750" s="1">
        <v>45050</v>
      </c>
      <c r="B1750" t="s">
        <v>11</v>
      </c>
      <c r="C1750" t="s">
        <v>29</v>
      </c>
      <c r="D1750" t="s">
        <v>28</v>
      </c>
      <c r="E1750" t="s">
        <v>14</v>
      </c>
      <c r="F1750" t="s">
        <v>26</v>
      </c>
      <c r="G1750">
        <v>126.61</v>
      </c>
      <c r="H1750">
        <v>8</v>
      </c>
      <c r="I1750">
        <v>663.7</v>
      </c>
      <c r="J1750">
        <v>3</v>
      </c>
      <c r="K1750">
        <v>504.21</v>
      </c>
    </row>
    <row r="1751" spans="1:11" x14ac:dyDescent="0.3">
      <c r="A1751" s="1">
        <v>45027</v>
      </c>
      <c r="B1751" t="s">
        <v>11</v>
      </c>
      <c r="C1751" t="s">
        <v>18</v>
      </c>
      <c r="D1751" t="s">
        <v>13</v>
      </c>
      <c r="E1751" t="s">
        <v>14</v>
      </c>
      <c r="F1751" t="s">
        <v>15</v>
      </c>
      <c r="G1751">
        <v>116.89</v>
      </c>
      <c r="H1751">
        <v>11</v>
      </c>
      <c r="I1751">
        <v>1036.1500000000001</v>
      </c>
      <c r="J1751">
        <v>2</v>
      </c>
      <c r="K1751">
        <v>903.41</v>
      </c>
    </row>
    <row r="1752" spans="1:11" x14ac:dyDescent="0.3">
      <c r="A1752" s="1">
        <v>45283</v>
      </c>
      <c r="B1752" t="s">
        <v>21</v>
      </c>
      <c r="C1752" t="s">
        <v>24</v>
      </c>
      <c r="D1752" t="s">
        <v>13</v>
      </c>
      <c r="E1752" t="s">
        <v>14</v>
      </c>
      <c r="F1752" t="s">
        <v>22</v>
      </c>
      <c r="G1752">
        <v>194.53</v>
      </c>
      <c r="H1752">
        <v>5</v>
      </c>
      <c r="I1752">
        <v>328.59</v>
      </c>
      <c r="J1752">
        <v>3</v>
      </c>
      <c r="K1752">
        <v>71.44</v>
      </c>
    </row>
    <row r="1753" spans="1:11" x14ac:dyDescent="0.3">
      <c r="A1753" s="1">
        <v>45228</v>
      </c>
      <c r="B1753" t="s">
        <v>23</v>
      </c>
      <c r="C1753" t="s">
        <v>24</v>
      </c>
      <c r="D1753" t="s">
        <v>13</v>
      </c>
      <c r="E1753" t="s">
        <v>20</v>
      </c>
      <c r="F1753" t="s">
        <v>26</v>
      </c>
      <c r="G1753">
        <v>100.27</v>
      </c>
      <c r="H1753">
        <v>20</v>
      </c>
      <c r="I1753">
        <v>840.43</v>
      </c>
      <c r="J1753">
        <v>2</v>
      </c>
      <c r="K1753">
        <v>693.1</v>
      </c>
    </row>
    <row r="1754" spans="1:11" x14ac:dyDescent="0.3">
      <c r="A1754" s="1">
        <v>44960</v>
      </c>
      <c r="B1754" t="s">
        <v>21</v>
      </c>
      <c r="C1754" t="s">
        <v>18</v>
      </c>
      <c r="D1754" t="s">
        <v>28</v>
      </c>
      <c r="E1754" t="s">
        <v>20</v>
      </c>
      <c r="F1754" t="s">
        <v>22</v>
      </c>
      <c r="G1754">
        <v>159.19999999999999</v>
      </c>
      <c r="H1754">
        <v>8</v>
      </c>
      <c r="I1754">
        <v>730.94</v>
      </c>
      <c r="J1754">
        <v>0</v>
      </c>
      <c r="K1754">
        <v>571.74</v>
      </c>
    </row>
    <row r="1755" spans="1:11" x14ac:dyDescent="0.3">
      <c r="A1755" s="1">
        <v>45114</v>
      </c>
      <c r="B1755" t="s">
        <v>17</v>
      </c>
      <c r="C1755" t="s">
        <v>29</v>
      </c>
      <c r="D1755" t="s">
        <v>13</v>
      </c>
      <c r="E1755" t="s">
        <v>20</v>
      </c>
      <c r="F1755" t="s">
        <v>16</v>
      </c>
      <c r="G1755">
        <v>71.12</v>
      </c>
      <c r="H1755">
        <v>6</v>
      </c>
      <c r="I1755">
        <v>336.88</v>
      </c>
      <c r="J1755">
        <v>1</v>
      </c>
      <c r="K1755">
        <v>229.25</v>
      </c>
    </row>
    <row r="1756" spans="1:11" x14ac:dyDescent="0.3">
      <c r="A1756" s="1">
        <v>44941</v>
      </c>
      <c r="B1756" t="s">
        <v>21</v>
      </c>
      <c r="C1756" t="s">
        <v>29</v>
      </c>
      <c r="D1756" t="s">
        <v>27</v>
      </c>
      <c r="E1756" t="s">
        <v>14</v>
      </c>
      <c r="F1756" t="s">
        <v>15</v>
      </c>
      <c r="G1756">
        <v>30.72</v>
      </c>
      <c r="H1756">
        <v>5</v>
      </c>
      <c r="I1756">
        <v>204.11</v>
      </c>
      <c r="J1756">
        <v>0</v>
      </c>
      <c r="K1756">
        <v>173.39</v>
      </c>
    </row>
    <row r="1757" spans="1:11" x14ac:dyDescent="0.3">
      <c r="A1757" s="1">
        <v>45089</v>
      </c>
      <c r="B1757" t="s">
        <v>17</v>
      </c>
      <c r="C1757" t="s">
        <v>29</v>
      </c>
      <c r="D1757" t="s">
        <v>27</v>
      </c>
      <c r="E1757" t="s">
        <v>14</v>
      </c>
      <c r="F1757" t="s">
        <v>16</v>
      </c>
      <c r="G1757">
        <v>173.58</v>
      </c>
      <c r="H1757">
        <v>16</v>
      </c>
      <c r="I1757">
        <v>1537.1</v>
      </c>
      <c r="J1757">
        <v>3</v>
      </c>
      <c r="K1757">
        <v>1314.96</v>
      </c>
    </row>
    <row r="1758" spans="1:11" x14ac:dyDescent="0.3">
      <c r="A1758" s="1">
        <v>45105</v>
      </c>
      <c r="B1758" t="s">
        <v>17</v>
      </c>
      <c r="C1758" t="s">
        <v>12</v>
      </c>
      <c r="D1758" t="s">
        <v>19</v>
      </c>
      <c r="E1758" t="s">
        <v>20</v>
      </c>
      <c r="F1758" t="s">
        <v>22</v>
      </c>
      <c r="G1758">
        <v>60.29</v>
      </c>
      <c r="H1758">
        <v>2</v>
      </c>
      <c r="I1758">
        <v>197.8</v>
      </c>
      <c r="J1758">
        <v>1</v>
      </c>
      <c r="K1758">
        <v>97.46</v>
      </c>
    </row>
    <row r="1759" spans="1:11" x14ac:dyDescent="0.3">
      <c r="A1759" s="1">
        <v>44970</v>
      </c>
      <c r="B1759" t="s">
        <v>21</v>
      </c>
      <c r="C1759" t="s">
        <v>18</v>
      </c>
      <c r="D1759" t="s">
        <v>28</v>
      </c>
      <c r="E1759" t="s">
        <v>14</v>
      </c>
      <c r="F1759" t="s">
        <v>16</v>
      </c>
      <c r="G1759">
        <v>181</v>
      </c>
      <c r="H1759">
        <v>20</v>
      </c>
      <c r="I1759">
        <v>1301.18</v>
      </c>
      <c r="J1759">
        <v>3</v>
      </c>
      <c r="K1759">
        <v>1034.1600000000001</v>
      </c>
    </row>
    <row r="1760" spans="1:11" x14ac:dyDescent="0.3">
      <c r="A1760" s="1">
        <v>45145</v>
      </c>
      <c r="B1760" t="s">
        <v>17</v>
      </c>
      <c r="C1760" t="s">
        <v>29</v>
      </c>
      <c r="D1760" t="s">
        <v>19</v>
      </c>
      <c r="E1760" t="s">
        <v>20</v>
      </c>
      <c r="F1760" t="s">
        <v>22</v>
      </c>
      <c r="G1760">
        <v>144.21</v>
      </c>
      <c r="H1760">
        <v>5</v>
      </c>
      <c r="I1760">
        <v>116.99</v>
      </c>
      <c r="J1760">
        <v>0</v>
      </c>
      <c r="K1760">
        <v>-27.22</v>
      </c>
    </row>
    <row r="1761" spans="1:11" x14ac:dyDescent="0.3">
      <c r="A1761" s="1">
        <v>45077</v>
      </c>
      <c r="B1761" t="s">
        <v>11</v>
      </c>
      <c r="C1761" t="s">
        <v>18</v>
      </c>
      <c r="D1761" t="s">
        <v>25</v>
      </c>
      <c r="E1761" t="s">
        <v>14</v>
      </c>
      <c r="F1761" t="s">
        <v>16</v>
      </c>
      <c r="G1761">
        <v>77.66</v>
      </c>
      <c r="H1761">
        <v>14</v>
      </c>
      <c r="I1761">
        <v>898.43</v>
      </c>
      <c r="J1761">
        <v>2</v>
      </c>
      <c r="K1761">
        <v>768.41</v>
      </c>
    </row>
    <row r="1762" spans="1:11" x14ac:dyDescent="0.3">
      <c r="A1762" s="1">
        <v>44929</v>
      </c>
      <c r="B1762" t="s">
        <v>21</v>
      </c>
      <c r="C1762" t="s">
        <v>29</v>
      </c>
      <c r="D1762" t="s">
        <v>13</v>
      </c>
      <c r="E1762" t="s">
        <v>20</v>
      </c>
      <c r="F1762" t="s">
        <v>16</v>
      </c>
      <c r="G1762">
        <v>170.43</v>
      </c>
      <c r="H1762">
        <v>12</v>
      </c>
      <c r="I1762">
        <v>829.7</v>
      </c>
      <c r="J1762">
        <v>2</v>
      </c>
      <c r="K1762">
        <v>597.59</v>
      </c>
    </row>
    <row r="1763" spans="1:11" x14ac:dyDescent="0.3">
      <c r="A1763" s="1">
        <v>44992</v>
      </c>
      <c r="B1763" t="s">
        <v>11</v>
      </c>
      <c r="C1763" t="s">
        <v>24</v>
      </c>
      <c r="D1763" t="s">
        <v>19</v>
      </c>
      <c r="E1763" t="s">
        <v>20</v>
      </c>
      <c r="F1763" t="s">
        <v>22</v>
      </c>
      <c r="G1763">
        <v>21.28</v>
      </c>
      <c r="H1763">
        <v>18</v>
      </c>
      <c r="I1763">
        <v>1027.04</v>
      </c>
      <c r="J1763">
        <v>3</v>
      </c>
      <c r="K1763">
        <v>924.16</v>
      </c>
    </row>
    <row r="1764" spans="1:11" x14ac:dyDescent="0.3">
      <c r="A1764" s="1">
        <v>44985</v>
      </c>
      <c r="B1764" t="s">
        <v>21</v>
      </c>
      <c r="C1764" t="s">
        <v>18</v>
      </c>
      <c r="D1764" t="s">
        <v>27</v>
      </c>
      <c r="E1764" t="s">
        <v>20</v>
      </c>
      <c r="F1764" t="s">
        <v>16</v>
      </c>
      <c r="G1764">
        <v>82.18</v>
      </c>
      <c r="H1764">
        <v>2</v>
      </c>
      <c r="I1764">
        <v>151.79</v>
      </c>
      <c r="J1764">
        <v>2</v>
      </c>
      <c r="K1764">
        <v>31.37</v>
      </c>
    </row>
    <row r="1765" spans="1:11" x14ac:dyDescent="0.3">
      <c r="A1765" s="1">
        <v>45054</v>
      </c>
      <c r="B1765" t="s">
        <v>11</v>
      </c>
      <c r="C1765" t="s">
        <v>29</v>
      </c>
      <c r="D1765" t="s">
        <v>19</v>
      </c>
      <c r="E1765" t="s">
        <v>20</v>
      </c>
      <c r="F1765" t="s">
        <v>15</v>
      </c>
      <c r="G1765">
        <v>48.4</v>
      </c>
      <c r="H1765">
        <v>20</v>
      </c>
      <c r="I1765">
        <v>1385.87</v>
      </c>
      <c r="J1765">
        <v>1</v>
      </c>
      <c r="K1765">
        <v>1323.19</v>
      </c>
    </row>
    <row r="1766" spans="1:11" x14ac:dyDescent="0.3">
      <c r="A1766" s="1">
        <v>45193</v>
      </c>
      <c r="B1766" t="s">
        <v>23</v>
      </c>
      <c r="C1766" t="s">
        <v>18</v>
      </c>
      <c r="D1766" t="s">
        <v>28</v>
      </c>
      <c r="E1766" t="s">
        <v>20</v>
      </c>
      <c r="F1766" t="s">
        <v>16</v>
      </c>
      <c r="G1766">
        <v>10.4</v>
      </c>
      <c r="H1766">
        <v>9</v>
      </c>
      <c r="I1766">
        <v>232.89</v>
      </c>
      <c r="J1766">
        <v>2</v>
      </c>
      <c r="K1766">
        <v>146.36000000000001</v>
      </c>
    </row>
    <row r="1767" spans="1:11" x14ac:dyDescent="0.3">
      <c r="A1767" s="1">
        <v>45287</v>
      </c>
      <c r="B1767" t="s">
        <v>21</v>
      </c>
      <c r="C1767" t="s">
        <v>29</v>
      </c>
      <c r="D1767" t="s">
        <v>25</v>
      </c>
      <c r="E1767" t="s">
        <v>20</v>
      </c>
      <c r="F1767" t="s">
        <v>26</v>
      </c>
      <c r="G1767">
        <v>86.72</v>
      </c>
      <c r="H1767">
        <v>15</v>
      </c>
      <c r="I1767">
        <v>394.6</v>
      </c>
      <c r="J1767">
        <v>3</v>
      </c>
      <c r="K1767">
        <v>282.95999999999998</v>
      </c>
    </row>
    <row r="1768" spans="1:11" x14ac:dyDescent="0.3">
      <c r="A1768" s="1">
        <v>44959</v>
      </c>
      <c r="B1768" t="s">
        <v>21</v>
      </c>
      <c r="C1768" t="s">
        <v>24</v>
      </c>
      <c r="D1768" t="s">
        <v>13</v>
      </c>
      <c r="E1768" t="s">
        <v>20</v>
      </c>
      <c r="F1768" t="s">
        <v>26</v>
      </c>
      <c r="G1768">
        <v>73.2</v>
      </c>
      <c r="H1768">
        <v>5</v>
      </c>
      <c r="I1768">
        <v>472.83</v>
      </c>
      <c r="J1768">
        <v>0</v>
      </c>
      <c r="K1768">
        <v>399.63</v>
      </c>
    </row>
    <row r="1769" spans="1:11" x14ac:dyDescent="0.3">
      <c r="A1769" s="1">
        <v>45075</v>
      </c>
      <c r="B1769" t="s">
        <v>11</v>
      </c>
      <c r="C1769" t="s">
        <v>12</v>
      </c>
      <c r="D1769" t="s">
        <v>28</v>
      </c>
      <c r="E1769" t="s">
        <v>20</v>
      </c>
      <c r="F1769" t="s">
        <v>15</v>
      </c>
      <c r="G1769">
        <v>168.85</v>
      </c>
      <c r="H1769">
        <v>9</v>
      </c>
      <c r="I1769">
        <v>249.05</v>
      </c>
      <c r="J1769">
        <v>0</v>
      </c>
      <c r="K1769">
        <v>80.2</v>
      </c>
    </row>
    <row r="1770" spans="1:11" x14ac:dyDescent="0.3">
      <c r="A1770" s="1">
        <v>44994</v>
      </c>
      <c r="B1770" t="s">
        <v>11</v>
      </c>
      <c r="C1770" t="s">
        <v>24</v>
      </c>
      <c r="D1770" t="s">
        <v>19</v>
      </c>
      <c r="E1770" t="s">
        <v>20</v>
      </c>
      <c r="F1770" t="s">
        <v>22</v>
      </c>
      <c r="G1770">
        <v>106.41</v>
      </c>
      <c r="H1770">
        <v>1</v>
      </c>
      <c r="I1770">
        <v>17.850000000000001</v>
      </c>
      <c r="J1770">
        <v>0</v>
      </c>
      <c r="K1770">
        <v>-88.56</v>
      </c>
    </row>
    <row r="1771" spans="1:11" x14ac:dyDescent="0.3">
      <c r="A1771" s="1">
        <v>44968</v>
      </c>
      <c r="B1771" t="s">
        <v>21</v>
      </c>
      <c r="C1771" t="s">
        <v>12</v>
      </c>
      <c r="D1771" t="s">
        <v>27</v>
      </c>
      <c r="E1771" t="s">
        <v>14</v>
      </c>
      <c r="F1771" t="s">
        <v>22</v>
      </c>
      <c r="G1771">
        <v>118.87</v>
      </c>
      <c r="H1771">
        <v>5</v>
      </c>
      <c r="I1771">
        <v>106.33</v>
      </c>
      <c r="J1771">
        <v>1</v>
      </c>
      <c r="K1771">
        <v>-31.89</v>
      </c>
    </row>
    <row r="1772" spans="1:11" x14ac:dyDescent="0.3">
      <c r="A1772" s="1">
        <v>45236</v>
      </c>
      <c r="B1772" t="s">
        <v>23</v>
      </c>
      <c r="C1772" t="s">
        <v>18</v>
      </c>
      <c r="D1772" t="s">
        <v>27</v>
      </c>
      <c r="E1772" t="s">
        <v>20</v>
      </c>
      <c r="F1772" t="s">
        <v>15</v>
      </c>
      <c r="G1772">
        <v>97.66</v>
      </c>
      <c r="H1772">
        <v>8</v>
      </c>
      <c r="I1772">
        <v>695.19</v>
      </c>
      <c r="J1772">
        <v>1</v>
      </c>
      <c r="K1772">
        <v>591.63</v>
      </c>
    </row>
    <row r="1773" spans="1:11" x14ac:dyDescent="0.3">
      <c r="A1773" s="1">
        <v>44966</v>
      </c>
      <c r="B1773" t="s">
        <v>21</v>
      </c>
      <c r="C1773" t="s">
        <v>12</v>
      </c>
      <c r="D1773" t="s">
        <v>27</v>
      </c>
      <c r="E1773" t="s">
        <v>20</v>
      </c>
      <c r="F1773" t="s">
        <v>15</v>
      </c>
      <c r="G1773">
        <v>141.25</v>
      </c>
      <c r="H1773">
        <v>1</v>
      </c>
      <c r="I1773">
        <v>51.59</v>
      </c>
      <c r="J1773">
        <v>0</v>
      </c>
      <c r="K1773">
        <v>-89.66</v>
      </c>
    </row>
    <row r="1774" spans="1:11" x14ac:dyDescent="0.3">
      <c r="A1774" s="1">
        <v>45234</v>
      </c>
      <c r="B1774" t="s">
        <v>23</v>
      </c>
      <c r="C1774" t="s">
        <v>18</v>
      </c>
      <c r="D1774" t="s">
        <v>28</v>
      </c>
      <c r="E1774" t="s">
        <v>20</v>
      </c>
      <c r="F1774" t="s">
        <v>16</v>
      </c>
      <c r="G1774">
        <v>106.96</v>
      </c>
      <c r="H1774">
        <v>19</v>
      </c>
      <c r="I1774">
        <v>681.55</v>
      </c>
      <c r="J1774">
        <v>2</v>
      </c>
      <c r="K1774">
        <v>496.3</v>
      </c>
    </row>
    <row r="1775" spans="1:11" x14ac:dyDescent="0.3">
      <c r="A1775" s="1">
        <v>45213</v>
      </c>
      <c r="B1775" t="s">
        <v>23</v>
      </c>
      <c r="C1775" t="s">
        <v>24</v>
      </c>
      <c r="D1775" t="s">
        <v>13</v>
      </c>
      <c r="E1775" t="s">
        <v>14</v>
      </c>
      <c r="F1775" t="s">
        <v>16</v>
      </c>
      <c r="G1775">
        <v>64.78</v>
      </c>
      <c r="H1775">
        <v>12</v>
      </c>
      <c r="I1775">
        <v>515.24</v>
      </c>
      <c r="J1775">
        <v>0</v>
      </c>
      <c r="K1775">
        <v>450.46</v>
      </c>
    </row>
    <row r="1776" spans="1:11" x14ac:dyDescent="0.3">
      <c r="A1776" s="1">
        <v>44996</v>
      </c>
      <c r="B1776" t="s">
        <v>11</v>
      </c>
      <c r="C1776" t="s">
        <v>12</v>
      </c>
      <c r="D1776" t="s">
        <v>27</v>
      </c>
      <c r="E1776" t="s">
        <v>20</v>
      </c>
      <c r="F1776" t="s">
        <v>22</v>
      </c>
      <c r="G1776">
        <v>105.14</v>
      </c>
      <c r="H1776">
        <v>14</v>
      </c>
      <c r="I1776">
        <v>437.67</v>
      </c>
      <c r="J1776">
        <v>0</v>
      </c>
      <c r="K1776">
        <v>332.53</v>
      </c>
    </row>
    <row r="1777" spans="1:11" x14ac:dyDescent="0.3">
      <c r="A1777" s="1">
        <v>45048</v>
      </c>
      <c r="B1777" t="s">
        <v>11</v>
      </c>
      <c r="C1777" t="s">
        <v>24</v>
      </c>
      <c r="D1777" t="s">
        <v>13</v>
      </c>
      <c r="E1777" t="s">
        <v>20</v>
      </c>
      <c r="F1777" t="s">
        <v>15</v>
      </c>
      <c r="G1777">
        <v>102.98</v>
      </c>
      <c r="H1777">
        <v>11</v>
      </c>
      <c r="I1777">
        <v>969.69</v>
      </c>
      <c r="J1777">
        <v>3</v>
      </c>
      <c r="K1777">
        <v>720.47</v>
      </c>
    </row>
    <row r="1778" spans="1:11" x14ac:dyDescent="0.3">
      <c r="A1778" s="1">
        <v>44969</v>
      </c>
      <c r="B1778" t="s">
        <v>21</v>
      </c>
      <c r="C1778" t="s">
        <v>29</v>
      </c>
      <c r="D1778" t="s">
        <v>13</v>
      </c>
      <c r="E1778" t="s">
        <v>14</v>
      </c>
      <c r="F1778" t="s">
        <v>16</v>
      </c>
      <c r="G1778">
        <v>50.69</v>
      </c>
      <c r="H1778">
        <v>20</v>
      </c>
      <c r="I1778">
        <v>1372.76</v>
      </c>
      <c r="J1778">
        <v>1</v>
      </c>
      <c r="K1778">
        <v>1288.9100000000001</v>
      </c>
    </row>
    <row r="1779" spans="1:11" x14ac:dyDescent="0.3">
      <c r="A1779" s="1">
        <v>45185</v>
      </c>
      <c r="B1779" t="s">
        <v>23</v>
      </c>
      <c r="C1779" t="s">
        <v>12</v>
      </c>
      <c r="D1779" t="s">
        <v>13</v>
      </c>
      <c r="E1779" t="s">
        <v>14</v>
      </c>
      <c r="F1779" t="s">
        <v>26</v>
      </c>
      <c r="G1779">
        <v>130.38999999999999</v>
      </c>
      <c r="H1779">
        <v>3</v>
      </c>
      <c r="I1779">
        <v>55.87</v>
      </c>
      <c r="J1779">
        <v>3</v>
      </c>
      <c r="K1779">
        <v>-123.5</v>
      </c>
    </row>
    <row r="1780" spans="1:11" x14ac:dyDescent="0.3">
      <c r="A1780" s="1">
        <v>45149</v>
      </c>
      <c r="B1780" t="s">
        <v>17</v>
      </c>
      <c r="C1780" t="s">
        <v>18</v>
      </c>
      <c r="D1780" t="s">
        <v>28</v>
      </c>
      <c r="E1780" t="s">
        <v>20</v>
      </c>
      <c r="F1780" t="s">
        <v>16</v>
      </c>
      <c r="G1780">
        <v>74.209999999999994</v>
      </c>
      <c r="H1780">
        <v>9</v>
      </c>
      <c r="I1780">
        <v>437.28</v>
      </c>
      <c r="J1780">
        <v>0</v>
      </c>
      <c r="K1780">
        <v>363.07</v>
      </c>
    </row>
    <row r="1781" spans="1:11" x14ac:dyDescent="0.3">
      <c r="A1781" s="1">
        <v>45090</v>
      </c>
      <c r="B1781" t="s">
        <v>17</v>
      </c>
      <c r="C1781" t="s">
        <v>12</v>
      </c>
      <c r="D1781" t="s">
        <v>27</v>
      </c>
      <c r="E1781" t="s">
        <v>14</v>
      </c>
      <c r="F1781" t="s">
        <v>15</v>
      </c>
      <c r="G1781">
        <v>37.229999999999997</v>
      </c>
      <c r="H1781">
        <v>3</v>
      </c>
      <c r="I1781">
        <v>196.98</v>
      </c>
      <c r="J1781">
        <v>2</v>
      </c>
      <c r="K1781">
        <v>133.9</v>
      </c>
    </row>
    <row r="1782" spans="1:11" x14ac:dyDescent="0.3">
      <c r="A1782" s="1">
        <v>45157</v>
      </c>
      <c r="B1782" t="s">
        <v>17</v>
      </c>
      <c r="C1782" t="s">
        <v>24</v>
      </c>
      <c r="D1782" t="s">
        <v>19</v>
      </c>
      <c r="E1782" t="s">
        <v>14</v>
      </c>
      <c r="F1782" t="s">
        <v>15</v>
      </c>
      <c r="G1782">
        <v>126.52</v>
      </c>
      <c r="H1782">
        <v>4</v>
      </c>
      <c r="I1782">
        <v>160.36000000000001</v>
      </c>
      <c r="J1782">
        <v>3</v>
      </c>
      <c r="K1782">
        <v>-39.22</v>
      </c>
    </row>
    <row r="1783" spans="1:11" x14ac:dyDescent="0.3">
      <c r="A1783" s="1">
        <v>44947</v>
      </c>
      <c r="B1783" t="s">
        <v>21</v>
      </c>
      <c r="C1783" t="s">
        <v>18</v>
      </c>
      <c r="D1783" t="s">
        <v>27</v>
      </c>
      <c r="E1783" t="s">
        <v>20</v>
      </c>
      <c r="F1783" t="s">
        <v>15</v>
      </c>
      <c r="G1783">
        <v>139.03</v>
      </c>
      <c r="H1783">
        <v>12</v>
      </c>
      <c r="I1783">
        <v>671.26</v>
      </c>
      <c r="J1783">
        <v>3</v>
      </c>
      <c r="K1783">
        <v>447.28</v>
      </c>
    </row>
    <row r="1784" spans="1:11" x14ac:dyDescent="0.3">
      <c r="A1784" s="1">
        <v>45277</v>
      </c>
      <c r="B1784" t="s">
        <v>21</v>
      </c>
      <c r="C1784" t="s">
        <v>18</v>
      </c>
      <c r="D1784" t="s">
        <v>19</v>
      </c>
      <c r="E1784" t="s">
        <v>20</v>
      </c>
      <c r="F1784" t="s">
        <v>22</v>
      </c>
      <c r="G1784">
        <v>40.72</v>
      </c>
      <c r="H1784">
        <v>7</v>
      </c>
      <c r="I1784">
        <v>294.69</v>
      </c>
      <c r="J1784">
        <v>0</v>
      </c>
      <c r="K1784">
        <v>253.97</v>
      </c>
    </row>
    <row r="1785" spans="1:11" x14ac:dyDescent="0.3">
      <c r="A1785" s="1">
        <v>45187</v>
      </c>
      <c r="B1785" t="s">
        <v>23</v>
      </c>
      <c r="C1785" t="s">
        <v>12</v>
      </c>
      <c r="D1785" t="s">
        <v>27</v>
      </c>
      <c r="E1785" t="s">
        <v>14</v>
      </c>
      <c r="F1785" t="s">
        <v>16</v>
      </c>
      <c r="G1785">
        <v>68.959999999999994</v>
      </c>
      <c r="H1785">
        <v>1</v>
      </c>
      <c r="I1785">
        <v>31.08</v>
      </c>
      <c r="J1785">
        <v>1</v>
      </c>
      <c r="K1785">
        <v>-81.900000000000006</v>
      </c>
    </row>
    <row r="1786" spans="1:11" x14ac:dyDescent="0.3">
      <c r="A1786" s="1">
        <v>45150</v>
      </c>
      <c r="B1786" t="s">
        <v>17</v>
      </c>
      <c r="C1786" t="s">
        <v>24</v>
      </c>
      <c r="D1786" t="s">
        <v>28</v>
      </c>
      <c r="E1786" t="s">
        <v>20</v>
      </c>
      <c r="F1786" t="s">
        <v>22</v>
      </c>
      <c r="G1786">
        <v>194.6</v>
      </c>
      <c r="H1786">
        <v>2</v>
      </c>
      <c r="I1786">
        <v>86.24</v>
      </c>
      <c r="J1786">
        <v>1</v>
      </c>
      <c r="K1786">
        <v>-122.47</v>
      </c>
    </row>
    <row r="1787" spans="1:11" x14ac:dyDescent="0.3">
      <c r="A1787" s="1">
        <v>44941</v>
      </c>
      <c r="B1787" t="s">
        <v>21</v>
      </c>
      <c r="C1787" t="s">
        <v>18</v>
      </c>
      <c r="D1787" t="s">
        <v>19</v>
      </c>
      <c r="E1787" t="s">
        <v>20</v>
      </c>
      <c r="F1787" t="s">
        <v>26</v>
      </c>
      <c r="G1787">
        <v>166.09</v>
      </c>
      <c r="H1787">
        <v>19</v>
      </c>
      <c r="I1787">
        <v>1291.46</v>
      </c>
      <c r="J1787">
        <v>0</v>
      </c>
      <c r="K1787">
        <v>1125.3699999999999</v>
      </c>
    </row>
    <row r="1788" spans="1:11" x14ac:dyDescent="0.3">
      <c r="A1788" s="1">
        <v>45060</v>
      </c>
      <c r="B1788" t="s">
        <v>11</v>
      </c>
      <c r="C1788" t="s">
        <v>12</v>
      </c>
      <c r="D1788" t="s">
        <v>25</v>
      </c>
      <c r="E1788" t="s">
        <v>20</v>
      </c>
      <c r="F1788" t="s">
        <v>15</v>
      </c>
      <c r="G1788">
        <v>30.33</v>
      </c>
      <c r="H1788">
        <v>7</v>
      </c>
      <c r="I1788">
        <v>619.74</v>
      </c>
      <c r="J1788">
        <v>2</v>
      </c>
      <c r="K1788">
        <v>578.34</v>
      </c>
    </row>
    <row r="1789" spans="1:11" x14ac:dyDescent="0.3">
      <c r="A1789" s="1">
        <v>45193</v>
      </c>
      <c r="B1789" t="s">
        <v>23</v>
      </c>
      <c r="C1789" t="s">
        <v>29</v>
      </c>
      <c r="D1789" t="s">
        <v>28</v>
      </c>
      <c r="E1789" t="s">
        <v>20</v>
      </c>
      <c r="F1789" t="s">
        <v>22</v>
      </c>
      <c r="G1789">
        <v>98.18</v>
      </c>
      <c r="H1789">
        <v>10</v>
      </c>
      <c r="I1789">
        <v>710.18</v>
      </c>
      <c r="J1789">
        <v>1</v>
      </c>
      <c r="K1789">
        <v>601.71</v>
      </c>
    </row>
    <row r="1790" spans="1:11" x14ac:dyDescent="0.3">
      <c r="A1790" s="1">
        <v>44946</v>
      </c>
      <c r="B1790" t="s">
        <v>21</v>
      </c>
      <c r="C1790" t="s">
        <v>29</v>
      </c>
      <c r="D1790" t="s">
        <v>19</v>
      </c>
      <c r="E1790" t="s">
        <v>20</v>
      </c>
      <c r="F1790" t="s">
        <v>26</v>
      </c>
      <c r="G1790">
        <v>143.81</v>
      </c>
      <c r="H1790">
        <v>4</v>
      </c>
      <c r="I1790">
        <v>156.31</v>
      </c>
      <c r="J1790">
        <v>1</v>
      </c>
      <c r="K1790">
        <v>-30.57</v>
      </c>
    </row>
    <row r="1791" spans="1:11" x14ac:dyDescent="0.3">
      <c r="A1791" s="1">
        <v>45163</v>
      </c>
      <c r="B1791" t="s">
        <v>17</v>
      </c>
      <c r="C1791" t="s">
        <v>24</v>
      </c>
      <c r="D1791" t="s">
        <v>27</v>
      </c>
      <c r="E1791" t="s">
        <v>14</v>
      </c>
      <c r="F1791" t="s">
        <v>16</v>
      </c>
      <c r="G1791">
        <v>61.59</v>
      </c>
      <c r="H1791">
        <v>14</v>
      </c>
      <c r="I1791">
        <v>1165.31</v>
      </c>
      <c r="J1791">
        <v>2</v>
      </c>
      <c r="K1791">
        <v>1008.63</v>
      </c>
    </row>
    <row r="1792" spans="1:11" x14ac:dyDescent="0.3">
      <c r="A1792" s="1">
        <v>45030</v>
      </c>
      <c r="B1792" t="s">
        <v>11</v>
      </c>
      <c r="C1792" t="s">
        <v>18</v>
      </c>
      <c r="D1792" t="s">
        <v>28</v>
      </c>
      <c r="E1792" t="s">
        <v>14</v>
      </c>
      <c r="F1792" t="s">
        <v>22</v>
      </c>
      <c r="G1792">
        <v>42.63</v>
      </c>
      <c r="H1792">
        <v>6</v>
      </c>
      <c r="I1792">
        <v>446.88</v>
      </c>
      <c r="J1792">
        <v>2</v>
      </c>
      <c r="K1792">
        <v>374.98</v>
      </c>
    </row>
    <row r="1793" spans="1:11" x14ac:dyDescent="0.3">
      <c r="A1793" s="1">
        <v>45257</v>
      </c>
      <c r="B1793" t="s">
        <v>23</v>
      </c>
      <c r="C1793" t="s">
        <v>24</v>
      </c>
      <c r="D1793" t="s">
        <v>25</v>
      </c>
      <c r="E1793" t="s">
        <v>14</v>
      </c>
      <c r="F1793" t="s">
        <v>26</v>
      </c>
      <c r="G1793">
        <v>101.73</v>
      </c>
      <c r="H1793">
        <v>1</v>
      </c>
      <c r="I1793">
        <v>89.61</v>
      </c>
      <c r="J1793">
        <v>1</v>
      </c>
      <c r="K1793">
        <v>-61.45</v>
      </c>
    </row>
    <row r="1794" spans="1:11" x14ac:dyDescent="0.3">
      <c r="A1794" s="1">
        <v>44958</v>
      </c>
      <c r="B1794" t="s">
        <v>21</v>
      </c>
      <c r="C1794" t="s">
        <v>18</v>
      </c>
      <c r="D1794" t="s">
        <v>25</v>
      </c>
      <c r="E1794" t="s">
        <v>20</v>
      </c>
      <c r="F1794" t="s">
        <v>26</v>
      </c>
      <c r="G1794">
        <v>83.4</v>
      </c>
      <c r="H1794">
        <v>15</v>
      </c>
      <c r="I1794">
        <v>1254.6099999999999</v>
      </c>
      <c r="J1794">
        <v>0</v>
      </c>
      <c r="K1794">
        <v>1171.21</v>
      </c>
    </row>
    <row r="1795" spans="1:11" x14ac:dyDescent="0.3">
      <c r="A1795" s="1">
        <v>44948</v>
      </c>
      <c r="B1795" t="s">
        <v>21</v>
      </c>
      <c r="C1795" t="s">
        <v>18</v>
      </c>
      <c r="D1795" t="s">
        <v>28</v>
      </c>
      <c r="E1795" t="s">
        <v>20</v>
      </c>
      <c r="F1795" t="s">
        <v>16</v>
      </c>
      <c r="G1795">
        <v>60.13</v>
      </c>
      <c r="H1795">
        <v>12</v>
      </c>
      <c r="I1795">
        <v>457.66</v>
      </c>
      <c r="J1795">
        <v>3</v>
      </c>
      <c r="K1795">
        <v>317.52999999999997</v>
      </c>
    </row>
    <row r="1796" spans="1:11" x14ac:dyDescent="0.3">
      <c r="A1796" s="1">
        <v>45031</v>
      </c>
      <c r="B1796" t="s">
        <v>11</v>
      </c>
      <c r="C1796" t="s">
        <v>12</v>
      </c>
      <c r="D1796" t="s">
        <v>19</v>
      </c>
      <c r="E1796" t="s">
        <v>14</v>
      </c>
      <c r="F1796" t="s">
        <v>26</v>
      </c>
      <c r="G1796">
        <v>54.73</v>
      </c>
      <c r="H1796">
        <v>4</v>
      </c>
      <c r="I1796">
        <v>168.48</v>
      </c>
      <c r="J1796">
        <v>2</v>
      </c>
      <c r="K1796">
        <v>74.760000000000005</v>
      </c>
    </row>
    <row r="1797" spans="1:11" x14ac:dyDescent="0.3">
      <c r="A1797" s="1">
        <v>45143</v>
      </c>
      <c r="B1797" t="s">
        <v>17</v>
      </c>
      <c r="C1797" t="s">
        <v>29</v>
      </c>
      <c r="D1797" t="s">
        <v>19</v>
      </c>
      <c r="E1797" t="s">
        <v>14</v>
      </c>
      <c r="F1797" t="s">
        <v>16</v>
      </c>
      <c r="G1797">
        <v>161.54</v>
      </c>
      <c r="H1797">
        <v>2</v>
      </c>
      <c r="I1797">
        <v>81.27</v>
      </c>
      <c r="J1797">
        <v>0</v>
      </c>
      <c r="K1797">
        <v>-80.27</v>
      </c>
    </row>
    <row r="1798" spans="1:11" x14ac:dyDescent="0.3">
      <c r="A1798" s="1">
        <v>45263</v>
      </c>
      <c r="B1798" t="s">
        <v>21</v>
      </c>
      <c r="C1798" t="s">
        <v>24</v>
      </c>
      <c r="D1798" t="s">
        <v>27</v>
      </c>
      <c r="E1798" t="s">
        <v>20</v>
      </c>
      <c r="F1798" t="s">
        <v>26</v>
      </c>
      <c r="G1798">
        <v>144.85</v>
      </c>
      <c r="H1798">
        <v>2</v>
      </c>
      <c r="I1798">
        <v>183.19</v>
      </c>
      <c r="J1798">
        <v>0</v>
      </c>
      <c r="K1798">
        <v>38.340000000000003</v>
      </c>
    </row>
    <row r="1799" spans="1:11" x14ac:dyDescent="0.3">
      <c r="A1799" s="1">
        <v>45050</v>
      </c>
      <c r="B1799" t="s">
        <v>11</v>
      </c>
      <c r="C1799" t="s">
        <v>18</v>
      </c>
      <c r="D1799" t="s">
        <v>25</v>
      </c>
      <c r="E1799" t="s">
        <v>14</v>
      </c>
      <c r="F1799" t="s">
        <v>26</v>
      </c>
      <c r="G1799">
        <v>7.19</v>
      </c>
      <c r="H1799">
        <v>7</v>
      </c>
      <c r="I1799">
        <v>438.98</v>
      </c>
      <c r="J1799">
        <v>2</v>
      </c>
      <c r="K1799">
        <v>408.31</v>
      </c>
    </row>
    <row r="1800" spans="1:11" x14ac:dyDescent="0.3">
      <c r="A1800" s="1">
        <v>45274</v>
      </c>
      <c r="B1800" t="s">
        <v>21</v>
      </c>
      <c r="C1800" t="s">
        <v>18</v>
      </c>
      <c r="D1800" t="s">
        <v>19</v>
      </c>
      <c r="E1800" t="s">
        <v>14</v>
      </c>
      <c r="F1800" t="s">
        <v>22</v>
      </c>
      <c r="G1800">
        <v>47.54</v>
      </c>
      <c r="H1800">
        <v>6</v>
      </c>
      <c r="I1800">
        <v>294.33</v>
      </c>
      <c r="J1800">
        <v>0</v>
      </c>
      <c r="K1800">
        <v>246.79</v>
      </c>
    </row>
    <row r="1801" spans="1:11" x14ac:dyDescent="0.3">
      <c r="A1801" s="1">
        <v>45166</v>
      </c>
      <c r="B1801" t="s">
        <v>17</v>
      </c>
      <c r="C1801" t="s">
        <v>18</v>
      </c>
      <c r="D1801" t="s">
        <v>27</v>
      </c>
      <c r="E1801" t="s">
        <v>20</v>
      </c>
      <c r="F1801" t="s">
        <v>15</v>
      </c>
      <c r="G1801">
        <v>108.37</v>
      </c>
      <c r="H1801">
        <v>20</v>
      </c>
      <c r="I1801">
        <v>1824.68</v>
      </c>
      <c r="J1801">
        <v>3</v>
      </c>
      <c r="K1801">
        <v>1637.37</v>
      </c>
    </row>
    <row r="1802" spans="1:11" x14ac:dyDescent="0.3">
      <c r="A1802" s="1">
        <v>44934</v>
      </c>
      <c r="B1802" t="s">
        <v>21</v>
      </c>
      <c r="C1802" t="s">
        <v>24</v>
      </c>
      <c r="D1802" t="s">
        <v>28</v>
      </c>
      <c r="E1802" t="s">
        <v>14</v>
      </c>
      <c r="F1802" t="s">
        <v>15</v>
      </c>
      <c r="G1802">
        <v>187.9</v>
      </c>
      <c r="H1802">
        <v>8</v>
      </c>
      <c r="I1802">
        <v>512.86</v>
      </c>
      <c r="J1802">
        <v>2</v>
      </c>
      <c r="K1802">
        <v>254.23</v>
      </c>
    </row>
    <row r="1803" spans="1:11" x14ac:dyDescent="0.3">
      <c r="A1803" s="1">
        <v>45014</v>
      </c>
      <c r="B1803" t="s">
        <v>11</v>
      </c>
      <c r="C1803" t="s">
        <v>24</v>
      </c>
      <c r="D1803" t="s">
        <v>13</v>
      </c>
      <c r="E1803" t="s">
        <v>14</v>
      </c>
      <c r="F1803" t="s">
        <v>16</v>
      </c>
      <c r="G1803">
        <v>179.06</v>
      </c>
      <c r="H1803">
        <v>10</v>
      </c>
      <c r="I1803">
        <v>390.84</v>
      </c>
      <c r="J1803">
        <v>3</v>
      </c>
      <c r="K1803">
        <v>66.69</v>
      </c>
    </row>
    <row r="1804" spans="1:11" x14ac:dyDescent="0.3">
      <c r="A1804" s="1">
        <v>45201</v>
      </c>
      <c r="B1804" t="s">
        <v>23</v>
      </c>
      <c r="C1804" t="s">
        <v>24</v>
      </c>
      <c r="D1804" t="s">
        <v>27</v>
      </c>
      <c r="E1804" t="s">
        <v>14</v>
      </c>
      <c r="F1804" t="s">
        <v>22</v>
      </c>
      <c r="G1804">
        <v>160.1</v>
      </c>
      <c r="H1804">
        <v>19</v>
      </c>
      <c r="I1804">
        <v>830.12</v>
      </c>
      <c r="J1804">
        <v>0</v>
      </c>
      <c r="K1804">
        <v>670.02</v>
      </c>
    </row>
    <row r="1805" spans="1:11" x14ac:dyDescent="0.3">
      <c r="A1805" s="1">
        <v>44955</v>
      </c>
      <c r="B1805" t="s">
        <v>21</v>
      </c>
      <c r="C1805" t="s">
        <v>12</v>
      </c>
      <c r="D1805" t="s">
        <v>28</v>
      </c>
      <c r="E1805" t="s">
        <v>14</v>
      </c>
      <c r="F1805" t="s">
        <v>15</v>
      </c>
      <c r="G1805">
        <v>22.99</v>
      </c>
      <c r="H1805">
        <v>12</v>
      </c>
      <c r="I1805">
        <v>687.1</v>
      </c>
      <c r="J1805">
        <v>3</v>
      </c>
      <c r="K1805">
        <v>634.77</v>
      </c>
    </row>
    <row r="1806" spans="1:11" x14ac:dyDescent="0.3">
      <c r="A1806" s="1">
        <v>45003</v>
      </c>
      <c r="B1806" t="s">
        <v>11</v>
      </c>
      <c r="C1806" t="s">
        <v>29</v>
      </c>
      <c r="D1806" t="s">
        <v>27</v>
      </c>
      <c r="E1806" t="s">
        <v>14</v>
      </c>
      <c r="F1806" t="s">
        <v>15</v>
      </c>
      <c r="G1806">
        <v>36.409999999999997</v>
      </c>
      <c r="H1806">
        <v>11</v>
      </c>
      <c r="I1806">
        <v>1019.85</v>
      </c>
      <c r="J1806">
        <v>2</v>
      </c>
      <c r="K1806">
        <v>911.31</v>
      </c>
    </row>
    <row r="1807" spans="1:11" x14ac:dyDescent="0.3">
      <c r="A1807" s="1">
        <v>45031</v>
      </c>
      <c r="B1807" t="s">
        <v>11</v>
      </c>
      <c r="C1807" t="s">
        <v>12</v>
      </c>
      <c r="D1807" t="s">
        <v>25</v>
      </c>
      <c r="E1807" t="s">
        <v>20</v>
      </c>
      <c r="F1807" t="s">
        <v>22</v>
      </c>
      <c r="G1807">
        <v>87.86</v>
      </c>
      <c r="H1807">
        <v>20</v>
      </c>
      <c r="I1807">
        <v>693.92</v>
      </c>
      <c r="J1807">
        <v>0</v>
      </c>
      <c r="K1807">
        <v>606.05999999999995</v>
      </c>
    </row>
    <row r="1808" spans="1:11" x14ac:dyDescent="0.3">
      <c r="A1808" s="1">
        <v>44932</v>
      </c>
      <c r="B1808" t="s">
        <v>21</v>
      </c>
      <c r="C1808" t="s">
        <v>29</v>
      </c>
      <c r="D1808" t="s">
        <v>13</v>
      </c>
      <c r="E1808" t="s">
        <v>14</v>
      </c>
      <c r="F1808" t="s">
        <v>15</v>
      </c>
      <c r="G1808">
        <v>7.48</v>
      </c>
      <c r="H1808">
        <v>7</v>
      </c>
      <c r="I1808">
        <v>228.12</v>
      </c>
      <c r="J1808">
        <v>0</v>
      </c>
      <c r="K1808">
        <v>220.64</v>
      </c>
    </row>
    <row r="1809" spans="1:11" x14ac:dyDescent="0.3">
      <c r="A1809" s="1">
        <v>44990</v>
      </c>
      <c r="B1809" t="s">
        <v>11</v>
      </c>
      <c r="C1809" t="s">
        <v>24</v>
      </c>
      <c r="D1809" t="s">
        <v>13</v>
      </c>
      <c r="E1809" t="s">
        <v>20</v>
      </c>
      <c r="F1809" t="s">
        <v>16</v>
      </c>
      <c r="G1809">
        <v>187.78</v>
      </c>
      <c r="H1809">
        <v>17</v>
      </c>
      <c r="I1809">
        <v>354.12</v>
      </c>
      <c r="J1809">
        <v>1</v>
      </c>
      <c r="K1809">
        <v>152.83000000000001</v>
      </c>
    </row>
    <row r="1810" spans="1:11" x14ac:dyDescent="0.3">
      <c r="A1810" s="1">
        <v>45249</v>
      </c>
      <c r="B1810" t="s">
        <v>23</v>
      </c>
      <c r="C1810" t="s">
        <v>24</v>
      </c>
      <c r="D1810" t="s">
        <v>13</v>
      </c>
      <c r="E1810" t="s">
        <v>14</v>
      </c>
      <c r="F1810" t="s">
        <v>22</v>
      </c>
      <c r="G1810">
        <v>176.12</v>
      </c>
      <c r="H1810">
        <v>5</v>
      </c>
      <c r="I1810">
        <v>58.18</v>
      </c>
      <c r="J1810">
        <v>1</v>
      </c>
      <c r="K1810">
        <v>-152.66</v>
      </c>
    </row>
    <row r="1811" spans="1:11" x14ac:dyDescent="0.3">
      <c r="A1811" s="1">
        <v>45228</v>
      </c>
      <c r="B1811" t="s">
        <v>23</v>
      </c>
      <c r="C1811" t="s">
        <v>24</v>
      </c>
      <c r="D1811" t="s">
        <v>28</v>
      </c>
      <c r="E1811" t="s">
        <v>14</v>
      </c>
      <c r="F1811" t="s">
        <v>16</v>
      </c>
      <c r="G1811">
        <v>109.01</v>
      </c>
      <c r="H1811">
        <v>20</v>
      </c>
      <c r="I1811">
        <v>1289.19</v>
      </c>
      <c r="J1811">
        <v>0</v>
      </c>
      <c r="K1811">
        <v>1180.18</v>
      </c>
    </row>
    <row r="1812" spans="1:11" x14ac:dyDescent="0.3">
      <c r="A1812" s="1">
        <v>45221</v>
      </c>
      <c r="B1812" t="s">
        <v>23</v>
      </c>
      <c r="C1812" t="s">
        <v>18</v>
      </c>
      <c r="D1812" t="s">
        <v>27</v>
      </c>
      <c r="E1812" t="s">
        <v>20</v>
      </c>
      <c r="F1812" t="s">
        <v>15</v>
      </c>
      <c r="G1812">
        <v>105.43</v>
      </c>
      <c r="H1812">
        <v>7</v>
      </c>
      <c r="I1812">
        <v>677.89</v>
      </c>
      <c r="J1812">
        <v>1</v>
      </c>
      <c r="K1812">
        <v>523</v>
      </c>
    </row>
    <row r="1813" spans="1:11" x14ac:dyDescent="0.3">
      <c r="A1813" s="1">
        <v>44974</v>
      </c>
      <c r="B1813" t="s">
        <v>21</v>
      </c>
      <c r="C1813" t="s">
        <v>12</v>
      </c>
      <c r="D1813" t="s">
        <v>19</v>
      </c>
      <c r="E1813" t="s">
        <v>20</v>
      </c>
      <c r="F1813" t="s">
        <v>15</v>
      </c>
      <c r="G1813">
        <v>122.63</v>
      </c>
      <c r="H1813">
        <v>4</v>
      </c>
      <c r="I1813">
        <v>249.42</v>
      </c>
      <c r="J1813">
        <v>2</v>
      </c>
      <c r="K1813">
        <v>88.94</v>
      </c>
    </row>
    <row r="1814" spans="1:11" x14ac:dyDescent="0.3">
      <c r="A1814" s="1">
        <v>45043</v>
      </c>
      <c r="B1814" t="s">
        <v>11</v>
      </c>
      <c r="C1814" t="s">
        <v>24</v>
      </c>
      <c r="D1814" t="s">
        <v>28</v>
      </c>
      <c r="E1814" t="s">
        <v>14</v>
      </c>
      <c r="F1814" t="s">
        <v>26</v>
      </c>
      <c r="G1814">
        <v>125.29</v>
      </c>
      <c r="H1814">
        <v>9</v>
      </c>
      <c r="I1814">
        <v>195.62</v>
      </c>
      <c r="J1814">
        <v>3</v>
      </c>
      <c r="K1814">
        <v>36.4</v>
      </c>
    </row>
    <row r="1815" spans="1:11" x14ac:dyDescent="0.3">
      <c r="A1815" s="1">
        <v>45120</v>
      </c>
      <c r="B1815" t="s">
        <v>17</v>
      </c>
      <c r="C1815" t="s">
        <v>12</v>
      </c>
      <c r="D1815" t="s">
        <v>19</v>
      </c>
      <c r="E1815" t="s">
        <v>20</v>
      </c>
      <c r="F1815" t="s">
        <v>26</v>
      </c>
      <c r="G1815">
        <v>170.92</v>
      </c>
      <c r="H1815">
        <v>12</v>
      </c>
      <c r="I1815">
        <v>444.12</v>
      </c>
      <c r="J1815">
        <v>1</v>
      </c>
      <c r="K1815">
        <v>225.91</v>
      </c>
    </row>
    <row r="1816" spans="1:11" x14ac:dyDescent="0.3">
      <c r="A1816" s="1">
        <v>45067</v>
      </c>
      <c r="B1816" t="s">
        <v>11</v>
      </c>
      <c r="C1816" t="s">
        <v>18</v>
      </c>
      <c r="D1816" t="s">
        <v>19</v>
      </c>
      <c r="E1816" t="s">
        <v>14</v>
      </c>
      <c r="F1816" t="s">
        <v>16</v>
      </c>
      <c r="G1816">
        <v>119.74</v>
      </c>
      <c r="H1816">
        <v>3</v>
      </c>
      <c r="I1816">
        <v>36.93</v>
      </c>
      <c r="J1816">
        <v>0</v>
      </c>
      <c r="K1816">
        <v>-82.81</v>
      </c>
    </row>
    <row r="1817" spans="1:11" x14ac:dyDescent="0.3">
      <c r="A1817" s="1">
        <v>45183</v>
      </c>
      <c r="B1817" t="s">
        <v>23</v>
      </c>
      <c r="C1817" t="s">
        <v>29</v>
      </c>
      <c r="D1817" t="s">
        <v>13</v>
      </c>
      <c r="E1817" t="s">
        <v>14</v>
      </c>
      <c r="F1817" t="s">
        <v>16</v>
      </c>
      <c r="G1817">
        <v>181.81</v>
      </c>
      <c r="H1817">
        <v>17</v>
      </c>
      <c r="I1817">
        <v>1020.39</v>
      </c>
      <c r="J1817">
        <v>1</v>
      </c>
      <c r="K1817">
        <v>792.47</v>
      </c>
    </row>
    <row r="1818" spans="1:11" x14ac:dyDescent="0.3">
      <c r="A1818" s="1">
        <v>44941</v>
      </c>
      <c r="B1818" t="s">
        <v>21</v>
      </c>
      <c r="C1818" t="s">
        <v>12</v>
      </c>
      <c r="D1818" t="s">
        <v>27</v>
      </c>
      <c r="E1818" t="s">
        <v>14</v>
      </c>
      <c r="F1818" t="s">
        <v>16</v>
      </c>
      <c r="G1818">
        <v>176.4</v>
      </c>
      <c r="H1818">
        <v>2</v>
      </c>
      <c r="I1818">
        <v>74.349999999999994</v>
      </c>
      <c r="J1818">
        <v>1</v>
      </c>
      <c r="K1818">
        <v>-125.25</v>
      </c>
    </row>
    <row r="1819" spans="1:11" x14ac:dyDescent="0.3">
      <c r="A1819" s="1">
        <v>45263</v>
      </c>
      <c r="B1819" t="s">
        <v>21</v>
      </c>
      <c r="C1819" t="s">
        <v>29</v>
      </c>
      <c r="D1819" t="s">
        <v>25</v>
      </c>
      <c r="E1819" t="s">
        <v>14</v>
      </c>
      <c r="F1819" t="s">
        <v>26</v>
      </c>
      <c r="G1819">
        <v>153.29</v>
      </c>
      <c r="H1819">
        <v>18</v>
      </c>
      <c r="I1819">
        <v>1522.34</v>
      </c>
      <c r="J1819">
        <v>3</v>
      </c>
      <c r="K1819">
        <v>1231.53</v>
      </c>
    </row>
    <row r="1820" spans="1:11" x14ac:dyDescent="0.3">
      <c r="A1820" s="1">
        <v>45009</v>
      </c>
      <c r="B1820" t="s">
        <v>11</v>
      </c>
      <c r="C1820" t="s">
        <v>29</v>
      </c>
      <c r="D1820" t="s">
        <v>13</v>
      </c>
      <c r="E1820" t="s">
        <v>14</v>
      </c>
      <c r="F1820" t="s">
        <v>26</v>
      </c>
      <c r="G1820">
        <v>91.59</v>
      </c>
      <c r="H1820">
        <v>13</v>
      </c>
      <c r="I1820">
        <v>293.08999999999997</v>
      </c>
      <c r="J1820">
        <v>0</v>
      </c>
      <c r="K1820">
        <v>201.5</v>
      </c>
    </row>
    <row r="1821" spans="1:11" x14ac:dyDescent="0.3">
      <c r="A1821" s="1">
        <v>45289</v>
      </c>
      <c r="B1821" t="s">
        <v>21</v>
      </c>
      <c r="C1821" t="s">
        <v>12</v>
      </c>
      <c r="D1821" t="s">
        <v>13</v>
      </c>
      <c r="E1821" t="s">
        <v>14</v>
      </c>
      <c r="F1821" t="s">
        <v>16</v>
      </c>
      <c r="G1821">
        <v>191.92</v>
      </c>
      <c r="H1821">
        <v>12</v>
      </c>
      <c r="I1821">
        <v>449.98</v>
      </c>
      <c r="J1821">
        <v>0</v>
      </c>
      <c r="K1821">
        <v>258.06</v>
      </c>
    </row>
    <row r="1822" spans="1:11" x14ac:dyDescent="0.3">
      <c r="A1822" s="1">
        <v>44955</v>
      </c>
      <c r="B1822" t="s">
        <v>21</v>
      </c>
      <c r="C1822" t="s">
        <v>18</v>
      </c>
      <c r="D1822" t="s">
        <v>28</v>
      </c>
      <c r="E1822" t="s">
        <v>14</v>
      </c>
      <c r="F1822" t="s">
        <v>15</v>
      </c>
      <c r="G1822">
        <v>155.28</v>
      </c>
      <c r="H1822">
        <v>11</v>
      </c>
      <c r="I1822">
        <v>437.49</v>
      </c>
      <c r="J1822">
        <v>1</v>
      </c>
      <c r="K1822">
        <v>274.49</v>
      </c>
    </row>
    <row r="1823" spans="1:11" x14ac:dyDescent="0.3">
      <c r="A1823" s="1">
        <v>44962</v>
      </c>
      <c r="B1823" t="s">
        <v>21</v>
      </c>
      <c r="C1823" t="s">
        <v>24</v>
      </c>
      <c r="D1823" t="s">
        <v>28</v>
      </c>
      <c r="E1823" t="s">
        <v>20</v>
      </c>
      <c r="F1823" t="s">
        <v>26</v>
      </c>
      <c r="G1823">
        <v>30.54</v>
      </c>
      <c r="H1823">
        <v>2</v>
      </c>
      <c r="I1823">
        <v>190.13</v>
      </c>
      <c r="J1823">
        <v>1</v>
      </c>
      <c r="K1823">
        <v>144.57</v>
      </c>
    </row>
    <row r="1824" spans="1:11" x14ac:dyDescent="0.3">
      <c r="A1824" s="1">
        <v>45022</v>
      </c>
      <c r="B1824" t="s">
        <v>11</v>
      </c>
      <c r="C1824" t="s">
        <v>12</v>
      </c>
      <c r="D1824" t="s">
        <v>27</v>
      </c>
      <c r="E1824" t="s">
        <v>20</v>
      </c>
      <c r="F1824" t="s">
        <v>22</v>
      </c>
      <c r="G1824">
        <v>154.66</v>
      </c>
      <c r="H1824">
        <v>15</v>
      </c>
      <c r="I1824">
        <v>994.87</v>
      </c>
      <c r="J1824">
        <v>1</v>
      </c>
      <c r="K1824">
        <v>833.36</v>
      </c>
    </row>
    <row r="1825" spans="1:11" x14ac:dyDescent="0.3">
      <c r="A1825" s="1">
        <v>45150</v>
      </c>
      <c r="B1825" t="s">
        <v>17</v>
      </c>
      <c r="C1825" t="s">
        <v>12</v>
      </c>
      <c r="D1825" t="s">
        <v>19</v>
      </c>
      <c r="E1825" t="s">
        <v>20</v>
      </c>
      <c r="F1825" t="s">
        <v>22</v>
      </c>
      <c r="G1825">
        <v>180.69</v>
      </c>
      <c r="H1825">
        <v>11</v>
      </c>
      <c r="I1825">
        <v>283.83999999999997</v>
      </c>
      <c r="J1825">
        <v>0</v>
      </c>
      <c r="K1825">
        <v>103.15</v>
      </c>
    </row>
    <row r="1826" spans="1:11" x14ac:dyDescent="0.3">
      <c r="A1826" s="1">
        <v>45134</v>
      </c>
      <c r="B1826" t="s">
        <v>17</v>
      </c>
      <c r="C1826" t="s">
        <v>29</v>
      </c>
      <c r="D1826" t="s">
        <v>27</v>
      </c>
      <c r="E1826" t="s">
        <v>20</v>
      </c>
      <c r="F1826" t="s">
        <v>15</v>
      </c>
      <c r="G1826">
        <v>71.91</v>
      </c>
      <c r="H1826">
        <v>5</v>
      </c>
      <c r="I1826">
        <v>205.62</v>
      </c>
      <c r="J1826">
        <v>2</v>
      </c>
      <c r="K1826">
        <v>89.57</v>
      </c>
    </row>
    <row r="1827" spans="1:11" x14ac:dyDescent="0.3">
      <c r="A1827" s="1">
        <v>45204</v>
      </c>
      <c r="B1827" t="s">
        <v>23</v>
      </c>
      <c r="C1827" t="s">
        <v>29</v>
      </c>
      <c r="D1827" t="s">
        <v>28</v>
      </c>
      <c r="E1827" t="s">
        <v>14</v>
      </c>
      <c r="F1827" t="s">
        <v>22</v>
      </c>
      <c r="G1827">
        <v>29.03</v>
      </c>
      <c r="H1827">
        <v>1</v>
      </c>
      <c r="I1827">
        <v>70.2</v>
      </c>
      <c r="J1827">
        <v>1</v>
      </c>
      <c r="K1827">
        <v>19.5</v>
      </c>
    </row>
    <row r="1828" spans="1:11" x14ac:dyDescent="0.3">
      <c r="A1828" s="1">
        <v>45277</v>
      </c>
      <c r="B1828" t="s">
        <v>21</v>
      </c>
      <c r="C1828" t="s">
        <v>29</v>
      </c>
      <c r="D1828" t="s">
        <v>25</v>
      </c>
      <c r="E1828" t="s">
        <v>14</v>
      </c>
      <c r="F1828" t="s">
        <v>15</v>
      </c>
      <c r="G1828">
        <v>65.52</v>
      </c>
      <c r="H1828">
        <v>7</v>
      </c>
      <c r="I1828">
        <v>294.77</v>
      </c>
      <c r="J1828">
        <v>0</v>
      </c>
      <c r="K1828">
        <v>229.25</v>
      </c>
    </row>
    <row r="1829" spans="1:11" x14ac:dyDescent="0.3">
      <c r="A1829" s="1">
        <v>45221</v>
      </c>
      <c r="B1829" t="s">
        <v>23</v>
      </c>
      <c r="C1829" t="s">
        <v>18</v>
      </c>
      <c r="D1829" t="s">
        <v>27</v>
      </c>
      <c r="E1829" t="s">
        <v>20</v>
      </c>
      <c r="F1829" t="s">
        <v>16</v>
      </c>
      <c r="G1829">
        <v>158.05000000000001</v>
      </c>
      <c r="H1829">
        <v>16</v>
      </c>
      <c r="I1829">
        <v>554.92999999999995</v>
      </c>
      <c r="J1829">
        <v>1</v>
      </c>
      <c r="K1829">
        <v>351.7</v>
      </c>
    </row>
    <row r="1830" spans="1:11" x14ac:dyDescent="0.3">
      <c r="A1830" s="1">
        <v>45157</v>
      </c>
      <c r="B1830" t="s">
        <v>17</v>
      </c>
      <c r="C1830" t="s">
        <v>12</v>
      </c>
      <c r="D1830" t="s">
        <v>28</v>
      </c>
      <c r="E1830" t="s">
        <v>14</v>
      </c>
      <c r="F1830" t="s">
        <v>15</v>
      </c>
      <c r="G1830">
        <v>143.99</v>
      </c>
      <c r="H1830">
        <v>15</v>
      </c>
      <c r="I1830">
        <v>1399.75</v>
      </c>
      <c r="J1830">
        <v>0</v>
      </c>
      <c r="K1830">
        <v>1255.76</v>
      </c>
    </row>
    <row r="1831" spans="1:11" x14ac:dyDescent="0.3">
      <c r="A1831" s="1">
        <v>45134</v>
      </c>
      <c r="B1831" t="s">
        <v>17</v>
      </c>
      <c r="C1831" t="s">
        <v>29</v>
      </c>
      <c r="D1831" t="s">
        <v>27</v>
      </c>
      <c r="E1831" t="s">
        <v>14</v>
      </c>
      <c r="F1831" t="s">
        <v>22</v>
      </c>
      <c r="G1831">
        <v>188.59</v>
      </c>
      <c r="H1831">
        <v>12</v>
      </c>
      <c r="I1831">
        <v>700.04</v>
      </c>
      <c r="J1831">
        <v>2</v>
      </c>
      <c r="K1831">
        <v>482.34</v>
      </c>
    </row>
    <row r="1832" spans="1:11" x14ac:dyDescent="0.3">
      <c r="A1832" s="1">
        <v>45280</v>
      </c>
      <c r="B1832" t="s">
        <v>21</v>
      </c>
      <c r="C1832" t="s">
        <v>18</v>
      </c>
      <c r="D1832" t="s">
        <v>25</v>
      </c>
      <c r="E1832" t="s">
        <v>14</v>
      </c>
      <c r="F1832" t="s">
        <v>16</v>
      </c>
      <c r="G1832">
        <v>6.49</v>
      </c>
      <c r="H1832">
        <v>19</v>
      </c>
      <c r="I1832">
        <v>521.54999999999995</v>
      </c>
      <c r="J1832">
        <v>2</v>
      </c>
      <c r="K1832">
        <v>498.81</v>
      </c>
    </row>
    <row r="1833" spans="1:11" x14ac:dyDescent="0.3">
      <c r="A1833" s="1">
        <v>44933</v>
      </c>
      <c r="B1833" t="s">
        <v>21</v>
      </c>
      <c r="C1833" t="s">
        <v>24</v>
      </c>
      <c r="D1833" t="s">
        <v>28</v>
      </c>
      <c r="E1833" t="s">
        <v>14</v>
      </c>
      <c r="F1833" t="s">
        <v>26</v>
      </c>
      <c r="G1833">
        <v>142.44999999999999</v>
      </c>
      <c r="H1833">
        <v>8</v>
      </c>
      <c r="I1833">
        <v>387.38</v>
      </c>
      <c r="J1833">
        <v>3</v>
      </c>
      <c r="K1833">
        <v>161.06</v>
      </c>
    </row>
    <row r="1834" spans="1:11" x14ac:dyDescent="0.3">
      <c r="A1834" s="1">
        <v>44935</v>
      </c>
      <c r="B1834" t="s">
        <v>21</v>
      </c>
      <c r="C1834" t="s">
        <v>29</v>
      </c>
      <c r="D1834" t="s">
        <v>27</v>
      </c>
      <c r="E1834" t="s">
        <v>14</v>
      </c>
      <c r="F1834" t="s">
        <v>16</v>
      </c>
      <c r="G1834">
        <v>152.78</v>
      </c>
      <c r="H1834">
        <v>20</v>
      </c>
      <c r="I1834">
        <v>1628.47</v>
      </c>
      <c r="J1834">
        <v>2</v>
      </c>
      <c r="K1834">
        <v>1422.37</v>
      </c>
    </row>
    <row r="1835" spans="1:11" x14ac:dyDescent="0.3">
      <c r="A1835" s="1">
        <v>44929</v>
      </c>
      <c r="B1835" t="s">
        <v>21</v>
      </c>
      <c r="C1835" t="s">
        <v>24</v>
      </c>
      <c r="D1835" t="s">
        <v>28</v>
      </c>
      <c r="E1835" t="s">
        <v>20</v>
      </c>
      <c r="F1835" t="s">
        <v>15</v>
      </c>
      <c r="G1835">
        <v>174.9</v>
      </c>
      <c r="H1835">
        <v>7</v>
      </c>
      <c r="I1835">
        <v>449.15</v>
      </c>
      <c r="J1835">
        <v>1</v>
      </c>
      <c r="K1835">
        <v>240.09</v>
      </c>
    </row>
    <row r="1836" spans="1:11" x14ac:dyDescent="0.3">
      <c r="A1836" s="1">
        <v>45087</v>
      </c>
      <c r="B1836" t="s">
        <v>17</v>
      </c>
      <c r="C1836" t="s">
        <v>12</v>
      </c>
      <c r="D1836" t="s">
        <v>13</v>
      </c>
      <c r="E1836" t="s">
        <v>14</v>
      </c>
      <c r="F1836" t="s">
        <v>22</v>
      </c>
      <c r="G1836">
        <v>102.82</v>
      </c>
      <c r="H1836">
        <v>7</v>
      </c>
      <c r="I1836">
        <v>109.15</v>
      </c>
      <c r="J1836">
        <v>3</v>
      </c>
      <c r="K1836">
        <v>-98.14</v>
      </c>
    </row>
    <row r="1837" spans="1:11" x14ac:dyDescent="0.3">
      <c r="A1837" s="1">
        <v>45289</v>
      </c>
      <c r="B1837" t="s">
        <v>21</v>
      </c>
      <c r="C1837" t="s">
        <v>24</v>
      </c>
      <c r="D1837" t="s">
        <v>13</v>
      </c>
      <c r="E1837" t="s">
        <v>20</v>
      </c>
      <c r="F1837" t="s">
        <v>22</v>
      </c>
      <c r="G1837">
        <v>179.54</v>
      </c>
      <c r="H1837">
        <v>1</v>
      </c>
      <c r="I1837">
        <v>38.65</v>
      </c>
      <c r="J1837">
        <v>1</v>
      </c>
      <c r="K1837">
        <v>-151.15</v>
      </c>
    </row>
    <row r="1838" spans="1:11" x14ac:dyDescent="0.3">
      <c r="A1838" s="1">
        <v>44960</v>
      </c>
      <c r="B1838" t="s">
        <v>21</v>
      </c>
      <c r="C1838" t="s">
        <v>24</v>
      </c>
      <c r="D1838" t="s">
        <v>27</v>
      </c>
      <c r="E1838" t="s">
        <v>14</v>
      </c>
      <c r="F1838" t="s">
        <v>16</v>
      </c>
      <c r="G1838">
        <v>127.23</v>
      </c>
      <c r="H1838">
        <v>13</v>
      </c>
      <c r="I1838">
        <v>307.98</v>
      </c>
      <c r="J1838">
        <v>2</v>
      </c>
      <c r="K1838">
        <v>85.67</v>
      </c>
    </row>
    <row r="1839" spans="1:11" x14ac:dyDescent="0.3">
      <c r="A1839" s="1">
        <v>45035</v>
      </c>
      <c r="B1839" t="s">
        <v>11</v>
      </c>
      <c r="C1839" t="s">
        <v>18</v>
      </c>
      <c r="D1839" t="s">
        <v>28</v>
      </c>
      <c r="E1839" t="s">
        <v>20</v>
      </c>
      <c r="F1839" t="s">
        <v>26</v>
      </c>
      <c r="G1839">
        <v>107.04</v>
      </c>
      <c r="H1839">
        <v>5</v>
      </c>
      <c r="I1839">
        <v>148.69999999999999</v>
      </c>
      <c r="J1839">
        <v>3</v>
      </c>
      <c r="K1839">
        <v>-35.26</v>
      </c>
    </row>
    <row r="1840" spans="1:11" x14ac:dyDescent="0.3">
      <c r="A1840" s="1">
        <v>45107</v>
      </c>
      <c r="B1840" t="s">
        <v>17</v>
      </c>
      <c r="C1840" t="s">
        <v>12</v>
      </c>
      <c r="D1840" t="s">
        <v>28</v>
      </c>
      <c r="E1840" t="s">
        <v>14</v>
      </c>
      <c r="F1840" t="s">
        <v>16</v>
      </c>
      <c r="G1840">
        <v>184.18</v>
      </c>
      <c r="H1840">
        <v>8</v>
      </c>
      <c r="I1840">
        <v>164.82</v>
      </c>
      <c r="J1840">
        <v>3</v>
      </c>
      <c r="K1840">
        <v>-94.11</v>
      </c>
    </row>
    <row r="1841" spans="1:11" x14ac:dyDescent="0.3">
      <c r="A1841" s="1">
        <v>44992</v>
      </c>
      <c r="B1841" t="s">
        <v>11</v>
      </c>
      <c r="C1841" t="s">
        <v>29</v>
      </c>
      <c r="D1841" t="s">
        <v>25</v>
      </c>
      <c r="E1841" t="s">
        <v>14</v>
      </c>
      <c r="F1841" t="s">
        <v>16</v>
      </c>
      <c r="G1841">
        <v>181.06</v>
      </c>
      <c r="H1841">
        <v>7</v>
      </c>
      <c r="I1841">
        <v>273.20999999999998</v>
      </c>
      <c r="J1841">
        <v>1</v>
      </c>
      <c r="K1841">
        <v>48.4</v>
      </c>
    </row>
    <row r="1842" spans="1:11" x14ac:dyDescent="0.3">
      <c r="A1842" s="1">
        <v>45135</v>
      </c>
      <c r="B1842" t="s">
        <v>17</v>
      </c>
      <c r="C1842" t="s">
        <v>24</v>
      </c>
      <c r="D1842" t="s">
        <v>13</v>
      </c>
      <c r="E1842" t="s">
        <v>14</v>
      </c>
      <c r="F1842" t="s">
        <v>15</v>
      </c>
      <c r="G1842">
        <v>38.11</v>
      </c>
      <c r="H1842">
        <v>14</v>
      </c>
      <c r="I1842">
        <v>1209.06</v>
      </c>
      <c r="J1842">
        <v>1</v>
      </c>
      <c r="K1842">
        <v>1137.04</v>
      </c>
    </row>
    <row r="1843" spans="1:11" x14ac:dyDescent="0.3">
      <c r="A1843" s="1">
        <v>45084</v>
      </c>
      <c r="B1843" t="s">
        <v>17</v>
      </c>
      <c r="C1843" t="s">
        <v>12</v>
      </c>
      <c r="D1843" t="s">
        <v>13</v>
      </c>
      <c r="E1843" t="s">
        <v>14</v>
      </c>
      <c r="F1843" t="s">
        <v>22</v>
      </c>
      <c r="G1843">
        <v>111.84</v>
      </c>
      <c r="H1843">
        <v>13</v>
      </c>
      <c r="I1843">
        <v>932.49</v>
      </c>
      <c r="J1843">
        <v>3</v>
      </c>
      <c r="K1843">
        <v>731.89</v>
      </c>
    </row>
    <row r="1844" spans="1:11" x14ac:dyDescent="0.3">
      <c r="A1844" s="1">
        <v>45150</v>
      </c>
      <c r="B1844" t="s">
        <v>17</v>
      </c>
      <c r="C1844" t="s">
        <v>29</v>
      </c>
      <c r="D1844" t="s">
        <v>27</v>
      </c>
      <c r="E1844" t="s">
        <v>14</v>
      </c>
      <c r="F1844" t="s">
        <v>16</v>
      </c>
      <c r="G1844">
        <v>129.15</v>
      </c>
      <c r="H1844">
        <v>1</v>
      </c>
      <c r="I1844">
        <v>65.989999999999995</v>
      </c>
      <c r="J1844">
        <v>0</v>
      </c>
      <c r="K1844">
        <v>-63.16</v>
      </c>
    </row>
    <row r="1845" spans="1:11" x14ac:dyDescent="0.3">
      <c r="A1845" s="1">
        <v>45284</v>
      </c>
      <c r="B1845" t="s">
        <v>21</v>
      </c>
      <c r="C1845" t="s">
        <v>12</v>
      </c>
      <c r="D1845" t="s">
        <v>13</v>
      </c>
      <c r="E1845" t="s">
        <v>20</v>
      </c>
      <c r="F1845" t="s">
        <v>16</v>
      </c>
      <c r="G1845">
        <v>189.47</v>
      </c>
      <c r="H1845">
        <v>12</v>
      </c>
      <c r="I1845">
        <v>863.3</v>
      </c>
      <c r="J1845">
        <v>1</v>
      </c>
      <c r="K1845">
        <v>630.92999999999995</v>
      </c>
    </row>
    <row r="1846" spans="1:11" x14ac:dyDescent="0.3">
      <c r="A1846" s="1">
        <v>45210</v>
      </c>
      <c r="B1846" t="s">
        <v>23</v>
      </c>
      <c r="C1846" t="s">
        <v>12</v>
      </c>
      <c r="D1846" t="s">
        <v>25</v>
      </c>
      <c r="E1846" t="s">
        <v>20</v>
      </c>
      <c r="F1846" t="s">
        <v>26</v>
      </c>
      <c r="G1846">
        <v>87.33</v>
      </c>
      <c r="H1846">
        <v>13</v>
      </c>
      <c r="I1846">
        <v>691.84</v>
      </c>
      <c r="J1846">
        <v>0</v>
      </c>
      <c r="K1846">
        <v>604.51</v>
      </c>
    </row>
    <row r="1847" spans="1:11" x14ac:dyDescent="0.3">
      <c r="A1847" s="1">
        <v>45013</v>
      </c>
      <c r="B1847" t="s">
        <v>11</v>
      </c>
      <c r="C1847" t="s">
        <v>29</v>
      </c>
      <c r="D1847" t="s">
        <v>27</v>
      </c>
      <c r="E1847" t="s">
        <v>14</v>
      </c>
      <c r="F1847" t="s">
        <v>16</v>
      </c>
      <c r="G1847">
        <v>131.38</v>
      </c>
      <c r="H1847">
        <v>16</v>
      </c>
      <c r="I1847">
        <v>909.74</v>
      </c>
      <c r="J1847">
        <v>1</v>
      </c>
      <c r="K1847">
        <v>754.01</v>
      </c>
    </row>
    <row r="1848" spans="1:11" x14ac:dyDescent="0.3">
      <c r="A1848" s="1">
        <v>45154</v>
      </c>
      <c r="B1848" t="s">
        <v>17</v>
      </c>
      <c r="C1848" t="s">
        <v>29</v>
      </c>
      <c r="D1848" t="s">
        <v>13</v>
      </c>
      <c r="E1848" t="s">
        <v>14</v>
      </c>
      <c r="F1848" t="s">
        <v>15</v>
      </c>
      <c r="G1848">
        <v>97.13</v>
      </c>
      <c r="H1848">
        <v>12</v>
      </c>
      <c r="I1848">
        <v>761.82</v>
      </c>
      <c r="J1848">
        <v>3</v>
      </c>
      <c r="K1848">
        <v>544.52</v>
      </c>
    </row>
    <row r="1849" spans="1:11" x14ac:dyDescent="0.3">
      <c r="A1849" s="1">
        <v>45031</v>
      </c>
      <c r="B1849" t="s">
        <v>11</v>
      </c>
      <c r="C1849" t="s">
        <v>29</v>
      </c>
      <c r="D1849" t="s">
        <v>27</v>
      </c>
      <c r="E1849" t="s">
        <v>20</v>
      </c>
      <c r="F1849" t="s">
        <v>15</v>
      </c>
      <c r="G1849">
        <v>74.42</v>
      </c>
      <c r="H1849">
        <v>14</v>
      </c>
      <c r="I1849">
        <v>670.34</v>
      </c>
      <c r="J1849">
        <v>3</v>
      </c>
      <c r="K1849">
        <v>502.23</v>
      </c>
    </row>
    <row r="1850" spans="1:11" x14ac:dyDescent="0.3">
      <c r="A1850" s="1">
        <v>45056</v>
      </c>
      <c r="B1850" t="s">
        <v>11</v>
      </c>
      <c r="C1850" t="s">
        <v>29</v>
      </c>
      <c r="D1850" t="s">
        <v>27</v>
      </c>
      <c r="E1850" t="s">
        <v>20</v>
      </c>
      <c r="F1850" t="s">
        <v>16</v>
      </c>
      <c r="G1850">
        <v>16.670000000000002</v>
      </c>
      <c r="H1850">
        <v>8</v>
      </c>
      <c r="I1850">
        <v>339.78</v>
      </c>
      <c r="J1850">
        <v>3</v>
      </c>
      <c r="K1850">
        <v>297.36</v>
      </c>
    </row>
    <row r="1851" spans="1:11" x14ac:dyDescent="0.3">
      <c r="A1851" s="1">
        <v>45083</v>
      </c>
      <c r="B1851" t="s">
        <v>17</v>
      </c>
      <c r="C1851" t="s">
        <v>18</v>
      </c>
      <c r="D1851" t="s">
        <v>13</v>
      </c>
      <c r="E1851" t="s">
        <v>14</v>
      </c>
      <c r="F1851" t="s">
        <v>22</v>
      </c>
      <c r="G1851">
        <v>181.77</v>
      </c>
      <c r="H1851">
        <v>9</v>
      </c>
      <c r="I1851">
        <v>189.31</v>
      </c>
      <c r="J1851">
        <v>2</v>
      </c>
      <c r="K1851">
        <v>-90.56</v>
      </c>
    </row>
    <row r="1852" spans="1:11" x14ac:dyDescent="0.3">
      <c r="A1852" s="1">
        <v>45289</v>
      </c>
      <c r="B1852" t="s">
        <v>21</v>
      </c>
      <c r="C1852" t="s">
        <v>18</v>
      </c>
      <c r="D1852" t="s">
        <v>19</v>
      </c>
      <c r="E1852" t="s">
        <v>20</v>
      </c>
      <c r="F1852" t="s">
        <v>22</v>
      </c>
      <c r="G1852">
        <v>43.24</v>
      </c>
      <c r="H1852">
        <v>10</v>
      </c>
      <c r="I1852">
        <v>298.19</v>
      </c>
      <c r="J1852">
        <v>1</v>
      </c>
      <c r="K1852">
        <v>242.43</v>
      </c>
    </row>
    <row r="1853" spans="1:11" x14ac:dyDescent="0.3">
      <c r="A1853" s="1">
        <v>45272</v>
      </c>
      <c r="B1853" t="s">
        <v>21</v>
      </c>
      <c r="C1853" t="s">
        <v>24</v>
      </c>
      <c r="D1853" t="s">
        <v>13</v>
      </c>
      <c r="E1853" t="s">
        <v>14</v>
      </c>
      <c r="F1853" t="s">
        <v>15</v>
      </c>
      <c r="G1853">
        <v>101.88</v>
      </c>
      <c r="H1853">
        <v>4</v>
      </c>
      <c r="I1853">
        <v>177.34</v>
      </c>
      <c r="J1853">
        <v>2</v>
      </c>
      <c r="K1853">
        <v>21.26</v>
      </c>
    </row>
    <row r="1854" spans="1:11" x14ac:dyDescent="0.3">
      <c r="A1854" s="1">
        <v>44964</v>
      </c>
      <c r="B1854" t="s">
        <v>21</v>
      </c>
      <c r="C1854" t="s">
        <v>12</v>
      </c>
      <c r="D1854" t="s">
        <v>19</v>
      </c>
      <c r="E1854" t="s">
        <v>20</v>
      </c>
      <c r="F1854" t="s">
        <v>22</v>
      </c>
      <c r="G1854">
        <v>196.18</v>
      </c>
      <c r="H1854">
        <v>7</v>
      </c>
      <c r="I1854">
        <v>266.08999999999997</v>
      </c>
      <c r="J1854">
        <v>1</v>
      </c>
      <c r="K1854">
        <v>60.2</v>
      </c>
    </row>
    <row r="1855" spans="1:11" x14ac:dyDescent="0.3">
      <c r="A1855" s="1">
        <v>45129</v>
      </c>
      <c r="B1855" t="s">
        <v>17</v>
      </c>
      <c r="C1855" t="s">
        <v>18</v>
      </c>
      <c r="D1855" t="s">
        <v>19</v>
      </c>
      <c r="E1855" t="s">
        <v>20</v>
      </c>
      <c r="F1855" t="s">
        <v>26</v>
      </c>
      <c r="G1855">
        <v>22.06</v>
      </c>
      <c r="H1855">
        <v>14</v>
      </c>
      <c r="I1855">
        <v>335</v>
      </c>
      <c r="J1855">
        <v>3</v>
      </c>
      <c r="K1855">
        <v>210.87</v>
      </c>
    </row>
    <row r="1856" spans="1:11" x14ac:dyDescent="0.3">
      <c r="A1856" s="1">
        <v>45261</v>
      </c>
      <c r="B1856" t="s">
        <v>21</v>
      </c>
      <c r="C1856" t="s">
        <v>24</v>
      </c>
      <c r="D1856" t="s">
        <v>13</v>
      </c>
      <c r="E1856" t="s">
        <v>14</v>
      </c>
      <c r="F1856" t="s">
        <v>22</v>
      </c>
      <c r="G1856">
        <v>14.38</v>
      </c>
      <c r="H1856">
        <v>17</v>
      </c>
      <c r="I1856">
        <v>1608.81</v>
      </c>
      <c r="J1856">
        <v>3</v>
      </c>
      <c r="K1856">
        <v>1560.14</v>
      </c>
    </row>
    <row r="1857" spans="1:11" x14ac:dyDescent="0.3">
      <c r="A1857" s="1">
        <v>45060</v>
      </c>
      <c r="B1857" t="s">
        <v>11</v>
      </c>
      <c r="C1857" t="s">
        <v>24</v>
      </c>
      <c r="D1857" t="s">
        <v>28</v>
      </c>
      <c r="E1857" t="s">
        <v>20</v>
      </c>
      <c r="F1857" t="s">
        <v>22</v>
      </c>
      <c r="G1857">
        <v>40.1</v>
      </c>
      <c r="H1857">
        <v>20</v>
      </c>
      <c r="I1857">
        <v>1212.6400000000001</v>
      </c>
      <c r="J1857">
        <v>3</v>
      </c>
      <c r="K1857">
        <v>1136.05</v>
      </c>
    </row>
    <row r="1858" spans="1:11" x14ac:dyDescent="0.3">
      <c r="A1858" s="1">
        <v>45007</v>
      </c>
      <c r="B1858" t="s">
        <v>11</v>
      </c>
      <c r="C1858" t="s">
        <v>18</v>
      </c>
      <c r="D1858" t="s">
        <v>13</v>
      </c>
      <c r="E1858" t="s">
        <v>20</v>
      </c>
      <c r="F1858" t="s">
        <v>22</v>
      </c>
      <c r="G1858">
        <v>98.37</v>
      </c>
      <c r="H1858">
        <v>9</v>
      </c>
      <c r="I1858">
        <v>486.43</v>
      </c>
      <c r="J1858">
        <v>2</v>
      </c>
      <c r="K1858">
        <v>320.7</v>
      </c>
    </row>
    <row r="1859" spans="1:11" x14ac:dyDescent="0.3">
      <c r="A1859" s="1">
        <v>44938</v>
      </c>
      <c r="B1859" t="s">
        <v>21</v>
      </c>
      <c r="C1859" t="s">
        <v>18</v>
      </c>
      <c r="D1859" t="s">
        <v>13</v>
      </c>
      <c r="E1859" t="s">
        <v>20</v>
      </c>
      <c r="F1859" t="s">
        <v>15</v>
      </c>
      <c r="G1859">
        <v>189.03</v>
      </c>
      <c r="H1859">
        <v>8</v>
      </c>
      <c r="I1859">
        <v>613.78</v>
      </c>
      <c r="J1859">
        <v>1</v>
      </c>
      <c r="K1859">
        <v>411.12</v>
      </c>
    </row>
    <row r="1860" spans="1:11" x14ac:dyDescent="0.3">
      <c r="A1860" s="1">
        <v>45108</v>
      </c>
      <c r="B1860" t="s">
        <v>17</v>
      </c>
      <c r="C1860" t="s">
        <v>24</v>
      </c>
      <c r="D1860" t="s">
        <v>25</v>
      </c>
      <c r="E1860" t="s">
        <v>20</v>
      </c>
      <c r="F1860" t="s">
        <v>15</v>
      </c>
      <c r="G1860">
        <v>26.01</v>
      </c>
      <c r="H1860">
        <v>15</v>
      </c>
      <c r="I1860">
        <v>955.41</v>
      </c>
      <c r="J1860">
        <v>1</v>
      </c>
      <c r="K1860">
        <v>884.88</v>
      </c>
    </row>
    <row r="1861" spans="1:11" x14ac:dyDescent="0.3">
      <c r="A1861" s="1">
        <v>45197</v>
      </c>
      <c r="B1861" t="s">
        <v>23</v>
      </c>
      <c r="C1861" t="s">
        <v>29</v>
      </c>
      <c r="D1861" t="s">
        <v>19</v>
      </c>
      <c r="E1861" t="s">
        <v>20</v>
      </c>
      <c r="F1861" t="s">
        <v>22</v>
      </c>
      <c r="G1861">
        <v>87.93</v>
      </c>
      <c r="H1861">
        <v>12</v>
      </c>
      <c r="I1861">
        <v>704.46</v>
      </c>
      <c r="J1861">
        <v>0</v>
      </c>
      <c r="K1861">
        <v>616.53</v>
      </c>
    </row>
    <row r="1862" spans="1:11" x14ac:dyDescent="0.3">
      <c r="A1862" s="1">
        <v>45016</v>
      </c>
      <c r="B1862" t="s">
        <v>11</v>
      </c>
      <c r="C1862" t="s">
        <v>18</v>
      </c>
      <c r="D1862" t="s">
        <v>25</v>
      </c>
      <c r="E1862" t="s">
        <v>20</v>
      </c>
      <c r="F1862" t="s">
        <v>16</v>
      </c>
      <c r="G1862">
        <v>63.9</v>
      </c>
      <c r="H1862">
        <v>6</v>
      </c>
      <c r="I1862">
        <v>60.15</v>
      </c>
      <c r="J1862">
        <v>2</v>
      </c>
      <c r="K1862">
        <v>-52.57</v>
      </c>
    </row>
    <row r="1863" spans="1:11" x14ac:dyDescent="0.3">
      <c r="A1863" s="1">
        <v>45006</v>
      </c>
      <c r="B1863" t="s">
        <v>11</v>
      </c>
      <c r="C1863" t="s">
        <v>24</v>
      </c>
      <c r="D1863" t="s">
        <v>13</v>
      </c>
      <c r="E1863" t="s">
        <v>14</v>
      </c>
      <c r="F1863" t="s">
        <v>16</v>
      </c>
      <c r="G1863">
        <v>174.41</v>
      </c>
      <c r="H1863">
        <v>3</v>
      </c>
      <c r="I1863">
        <v>140.68</v>
      </c>
      <c r="J1863">
        <v>2</v>
      </c>
      <c r="K1863">
        <v>-121.09</v>
      </c>
    </row>
    <row r="1864" spans="1:11" x14ac:dyDescent="0.3">
      <c r="A1864" s="1">
        <v>45041</v>
      </c>
      <c r="B1864" t="s">
        <v>11</v>
      </c>
      <c r="C1864" t="s">
        <v>29</v>
      </c>
      <c r="D1864" t="s">
        <v>25</v>
      </c>
      <c r="E1864" t="s">
        <v>14</v>
      </c>
      <c r="F1864" t="s">
        <v>26</v>
      </c>
      <c r="G1864">
        <v>131.31</v>
      </c>
      <c r="H1864">
        <v>5</v>
      </c>
      <c r="I1864">
        <v>205.89</v>
      </c>
      <c r="J1864">
        <v>2</v>
      </c>
      <c r="K1864">
        <v>23.65</v>
      </c>
    </row>
    <row r="1865" spans="1:11" x14ac:dyDescent="0.3">
      <c r="A1865" s="1">
        <v>45070</v>
      </c>
      <c r="B1865" t="s">
        <v>11</v>
      </c>
      <c r="C1865" t="s">
        <v>18</v>
      </c>
      <c r="D1865" t="s">
        <v>19</v>
      </c>
      <c r="E1865" t="s">
        <v>20</v>
      </c>
      <c r="F1865" t="s">
        <v>15</v>
      </c>
      <c r="G1865">
        <v>80.87</v>
      </c>
      <c r="H1865">
        <v>4</v>
      </c>
      <c r="I1865">
        <v>101.5</v>
      </c>
      <c r="J1865">
        <v>0</v>
      </c>
      <c r="K1865">
        <v>20.63</v>
      </c>
    </row>
    <row r="1866" spans="1:11" x14ac:dyDescent="0.3">
      <c r="A1866" s="1">
        <v>45079</v>
      </c>
      <c r="B1866" t="s">
        <v>17</v>
      </c>
      <c r="C1866" t="s">
        <v>12</v>
      </c>
      <c r="D1866" t="s">
        <v>27</v>
      </c>
      <c r="E1866" t="s">
        <v>20</v>
      </c>
      <c r="F1866" t="s">
        <v>26</v>
      </c>
      <c r="G1866">
        <v>158.49</v>
      </c>
      <c r="H1866">
        <v>9</v>
      </c>
      <c r="I1866">
        <v>750.94</v>
      </c>
      <c r="J1866">
        <v>2</v>
      </c>
      <c r="K1866">
        <v>514.41999999999996</v>
      </c>
    </row>
    <row r="1867" spans="1:11" x14ac:dyDescent="0.3">
      <c r="A1867" s="1">
        <v>44968</v>
      </c>
      <c r="B1867" t="s">
        <v>21</v>
      </c>
      <c r="C1867" t="s">
        <v>24</v>
      </c>
      <c r="D1867" t="s">
        <v>25</v>
      </c>
      <c r="E1867" t="s">
        <v>14</v>
      </c>
      <c r="F1867" t="s">
        <v>15</v>
      </c>
      <c r="G1867">
        <v>14.36</v>
      </c>
      <c r="H1867">
        <v>9</v>
      </c>
      <c r="I1867">
        <v>570.61</v>
      </c>
      <c r="J1867">
        <v>3</v>
      </c>
      <c r="K1867">
        <v>445.81</v>
      </c>
    </row>
    <row r="1868" spans="1:11" x14ac:dyDescent="0.3">
      <c r="A1868" s="1">
        <v>45018</v>
      </c>
      <c r="B1868" t="s">
        <v>11</v>
      </c>
      <c r="C1868" t="s">
        <v>12</v>
      </c>
      <c r="D1868" t="s">
        <v>25</v>
      </c>
      <c r="E1868" t="s">
        <v>20</v>
      </c>
      <c r="F1868" t="s">
        <v>16</v>
      </c>
      <c r="G1868">
        <v>110.75</v>
      </c>
      <c r="H1868">
        <v>14</v>
      </c>
      <c r="I1868">
        <v>251.22</v>
      </c>
      <c r="J1868">
        <v>3</v>
      </c>
      <c r="K1868">
        <v>72.73</v>
      </c>
    </row>
    <row r="1869" spans="1:11" x14ac:dyDescent="0.3">
      <c r="A1869" s="1">
        <v>45137</v>
      </c>
      <c r="B1869" t="s">
        <v>17</v>
      </c>
      <c r="C1869" t="s">
        <v>29</v>
      </c>
      <c r="D1869" t="s">
        <v>25</v>
      </c>
      <c r="E1869" t="s">
        <v>14</v>
      </c>
      <c r="F1869" t="s">
        <v>26</v>
      </c>
      <c r="G1869">
        <v>75.209999999999994</v>
      </c>
      <c r="H1869">
        <v>1</v>
      </c>
      <c r="I1869">
        <v>91.71</v>
      </c>
      <c r="J1869">
        <v>1</v>
      </c>
      <c r="K1869">
        <v>-11.28</v>
      </c>
    </row>
    <row r="1870" spans="1:11" x14ac:dyDescent="0.3">
      <c r="A1870" s="1">
        <v>45053</v>
      </c>
      <c r="B1870" t="s">
        <v>11</v>
      </c>
      <c r="C1870" t="s">
        <v>18</v>
      </c>
      <c r="D1870" t="s">
        <v>27</v>
      </c>
      <c r="E1870" t="s">
        <v>14</v>
      </c>
      <c r="F1870" t="s">
        <v>15</v>
      </c>
      <c r="G1870">
        <v>85.77</v>
      </c>
      <c r="H1870">
        <v>13</v>
      </c>
      <c r="I1870">
        <v>1036.49</v>
      </c>
      <c r="J1870">
        <v>3</v>
      </c>
      <c r="K1870">
        <v>829.65</v>
      </c>
    </row>
    <row r="1871" spans="1:11" x14ac:dyDescent="0.3">
      <c r="A1871" s="1">
        <v>45260</v>
      </c>
      <c r="B1871" t="s">
        <v>23</v>
      </c>
      <c r="C1871" t="s">
        <v>18</v>
      </c>
      <c r="D1871" t="s">
        <v>19</v>
      </c>
      <c r="E1871" t="s">
        <v>20</v>
      </c>
      <c r="F1871" t="s">
        <v>16</v>
      </c>
      <c r="G1871">
        <v>136.69999999999999</v>
      </c>
      <c r="H1871">
        <v>15</v>
      </c>
      <c r="I1871">
        <v>838.92</v>
      </c>
      <c r="J1871">
        <v>1</v>
      </c>
      <c r="K1871">
        <v>673.94</v>
      </c>
    </row>
    <row r="1872" spans="1:11" x14ac:dyDescent="0.3">
      <c r="A1872" s="1">
        <v>45083</v>
      </c>
      <c r="B1872" t="s">
        <v>17</v>
      </c>
      <c r="C1872" t="s">
        <v>29</v>
      </c>
      <c r="D1872" t="s">
        <v>28</v>
      </c>
      <c r="E1872" t="s">
        <v>14</v>
      </c>
      <c r="F1872" t="s">
        <v>26</v>
      </c>
      <c r="G1872">
        <v>68.39</v>
      </c>
      <c r="H1872">
        <v>7</v>
      </c>
      <c r="I1872">
        <v>660.17</v>
      </c>
      <c r="J1872">
        <v>1</v>
      </c>
      <c r="K1872">
        <v>562.91</v>
      </c>
    </row>
    <row r="1873" spans="1:11" x14ac:dyDescent="0.3">
      <c r="A1873" s="1">
        <v>45263</v>
      </c>
      <c r="B1873" t="s">
        <v>21</v>
      </c>
      <c r="C1873" t="s">
        <v>12</v>
      </c>
      <c r="D1873" t="s">
        <v>19</v>
      </c>
      <c r="E1873" t="s">
        <v>20</v>
      </c>
      <c r="F1873" t="s">
        <v>22</v>
      </c>
      <c r="G1873">
        <v>122.67</v>
      </c>
      <c r="H1873">
        <v>16</v>
      </c>
      <c r="I1873">
        <v>605.65</v>
      </c>
      <c r="J1873">
        <v>2</v>
      </c>
      <c r="K1873">
        <v>432.38</v>
      </c>
    </row>
    <row r="1874" spans="1:11" x14ac:dyDescent="0.3">
      <c r="A1874" s="1">
        <v>44959</v>
      </c>
      <c r="B1874" t="s">
        <v>21</v>
      </c>
      <c r="C1874" t="s">
        <v>24</v>
      </c>
      <c r="D1874" t="s">
        <v>28</v>
      </c>
      <c r="E1874" t="s">
        <v>20</v>
      </c>
      <c r="F1874" t="s">
        <v>15</v>
      </c>
      <c r="G1874">
        <v>143.99</v>
      </c>
      <c r="H1874">
        <v>12</v>
      </c>
      <c r="I1874">
        <v>1196.49</v>
      </c>
      <c r="J1874">
        <v>1</v>
      </c>
      <c r="K1874">
        <v>1034.8699999999999</v>
      </c>
    </row>
    <row r="1875" spans="1:11" x14ac:dyDescent="0.3">
      <c r="A1875" s="1">
        <v>45244</v>
      </c>
      <c r="B1875" t="s">
        <v>23</v>
      </c>
      <c r="C1875" t="s">
        <v>29</v>
      </c>
      <c r="D1875" t="s">
        <v>13</v>
      </c>
      <c r="E1875" t="s">
        <v>14</v>
      </c>
      <c r="F1875" t="s">
        <v>15</v>
      </c>
      <c r="G1875">
        <v>8.91</v>
      </c>
      <c r="H1875">
        <v>6</v>
      </c>
      <c r="I1875">
        <v>558.1</v>
      </c>
      <c r="J1875">
        <v>3</v>
      </c>
      <c r="K1875">
        <v>410.83</v>
      </c>
    </row>
    <row r="1876" spans="1:11" x14ac:dyDescent="0.3">
      <c r="A1876" s="1">
        <v>45156</v>
      </c>
      <c r="B1876" t="s">
        <v>17</v>
      </c>
      <c r="C1876" t="s">
        <v>12</v>
      </c>
      <c r="D1876" t="s">
        <v>13</v>
      </c>
      <c r="E1876" t="s">
        <v>14</v>
      </c>
      <c r="F1876" t="s">
        <v>16</v>
      </c>
      <c r="G1876">
        <v>28.89</v>
      </c>
      <c r="H1876">
        <v>19</v>
      </c>
      <c r="I1876">
        <v>516.1</v>
      </c>
      <c r="J1876">
        <v>2</v>
      </c>
      <c r="K1876">
        <v>439.22</v>
      </c>
    </row>
    <row r="1877" spans="1:11" x14ac:dyDescent="0.3">
      <c r="A1877" s="1">
        <v>45176</v>
      </c>
      <c r="B1877" t="s">
        <v>23</v>
      </c>
      <c r="C1877" t="s">
        <v>12</v>
      </c>
      <c r="D1877" t="s">
        <v>28</v>
      </c>
      <c r="E1877" t="s">
        <v>20</v>
      </c>
      <c r="F1877" t="s">
        <v>16</v>
      </c>
      <c r="G1877">
        <v>33.81</v>
      </c>
      <c r="H1877">
        <v>9</v>
      </c>
      <c r="I1877">
        <v>334.05</v>
      </c>
      <c r="J1877">
        <v>3</v>
      </c>
      <c r="K1877">
        <v>153.28</v>
      </c>
    </row>
    <row r="1878" spans="1:11" x14ac:dyDescent="0.3">
      <c r="A1878" s="1">
        <v>45225</v>
      </c>
      <c r="B1878" t="s">
        <v>23</v>
      </c>
      <c r="C1878" t="s">
        <v>18</v>
      </c>
      <c r="D1878" t="s">
        <v>19</v>
      </c>
      <c r="E1878" t="s">
        <v>14</v>
      </c>
      <c r="F1878" t="s">
        <v>22</v>
      </c>
      <c r="G1878">
        <v>130.88</v>
      </c>
      <c r="H1878">
        <v>12</v>
      </c>
      <c r="I1878">
        <v>166.52</v>
      </c>
      <c r="J1878">
        <v>1</v>
      </c>
      <c r="K1878">
        <v>-11.76</v>
      </c>
    </row>
    <row r="1879" spans="1:11" x14ac:dyDescent="0.3">
      <c r="A1879" s="1">
        <v>44976</v>
      </c>
      <c r="B1879" t="s">
        <v>21</v>
      </c>
      <c r="C1879" t="s">
        <v>29</v>
      </c>
      <c r="D1879" t="s">
        <v>28</v>
      </c>
      <c r="E1879" t="s">
        <v>20</v>
      </c>
      <c r="F1879" t="s">
        <v>22</v>
      </c>
      <c r="G1879">
        <v>173.93</v>
      </c>
      <c r="H1879">
        <v>5</v>
      </c>
      <c r="I1879">
        <v>393.66</v>
      </c>
      <c r="J1879">
        <v>2</v>
      </c>
      <c r="K1879">
        <v>162.71</v>
      </c>
    </row>
    <row r="1880" spans="1:11" x14ac:dyDescent="0.3">
      <c r="A1880" s="1">
        <v>45005</v>
      </c>
      <c r="B1880" t="s">
        <v>11</v>
      </c>
      <c r="C1880" t="s">
        <v>29</v>
      </c>
      <c r="D1880" t="s">
        <v>27</v>
      </c>
      <c r="E1880" t="s">
        <v>20</v>
      </c>
      <c r="F1880" t="s">
        <v>26</v>
      </c>
      <c r="G1880">
        <v>92.59</v>
      </c>
      <c r="H1880">
        <v>15</v>
      </c>
      <c r="I1880">
        <v>1032.44</v>
      </c>
      <c r="J1880">
        <v>2</v>
      </c>
      <c r="K1880">
        <v>903.22</v>
      </c>
    </row>
    <row r="1881" spans="1:11" x14ac:dyDescent="0.3">
      <c r="A1881" s="1">
        <v>45024</v>
      </c>
      <c r="B1881" t="s">
        <v>11</v>
      </c>
      <c r="C1881" t="s">
        <v>12</v>
      </c>
      <c r="D1881" t="s">
        <v>28</v>
      </c>
      <c r="E1881" t="s">
        <v>14</v>
      </c>
      <c r="F1881" t="s">
        <v>22</v>
      </c>
      <c r="G1881">
        <v>110.9</v>
      </c>
      <c r="H1881">
        <v>10</v>
      </c>
      <c r="I1881">
        <v>867.6</v>
      </c>
      <c r="J1881">
        <v>0</v>
      </c>
      <c r="K1881">
        <v>756.7</v>
      </c>
    </row>
    <row r="1882" spans="1:11" x14ac:dyDescent="0.3">
      <c r="A1882" s="1">
        <v>45030</v>
      </c>
      <c r="B1882" t="s">
        <v>11</v>
      </c>
      <c r="C1882" t="s">
        <v>29</v>
      </c>
      <c r="D1882" t="s">
        <v>13</v>
      </c>
      <c r="E1882" t="s">
        <v>20</v>
      </c>
      <c r="F1882" t="s">
        <v>26</v>
      </c>
      <c r="G1882">
        <v>179.4</v>
      </c>
      <c r="H1882">
        <v>2</v>
      </c>
      <c r="I1882">
        <v>173.12</v>
      </c>
      <c r="J1882">
        <v>2</v>
      </c>
      <c r="K1882">
        <v>-103.9</v>
      </c>
    </row>
    <row r="1883" spans="1:11" x14ac:dyDescent="0.3">
      <c r="A1883" s="1">
        <v>45291</v>
      </c>
      <c r="B1883" t="s">
        <v>21</v>
      </c>
      <c r="C1883" t="s">
        <v>29</v>
      </c>
      <c r="D1883" t="s">
        <v>25</v>
      </c>
      <c r="E1883" t="s">
        <v>14</v>
      </c>
      <c r="F1883" t="s">
        <v>16</v>
      </c>
      <c r="G1883">
        <v>130.09</v>
      </c>
      <c r="H1883">
        <v>1</v>
      </c>
      <c r="I1883">
        <v>51.09</v>
      </c>
      <c r="J1883">
        <v>0</v>
      </c>
      <c r="K1883">
        <v>-79</v>
      </c>
    </row>
    <row r="1884" spans="1:11" x14ac:dyDescent="0.3">
      <c r="A1884" s="1">
        <v>45114</v>
      </c>
      <c r="B1884" t="s">
        <v>17</v>
      </c>
      <c r="C1884" t="s">
        <v>24</v>
      </c>
      <c r="D1884" t="s">
        <v>27</v>
      </c>
      <c r="E1884" t="s">
        <v>14</v>
      </c>
      <c r="F1884" t="s">
        <v>26</v>
      </c>
      <c r="G1884">
        <v>121.99</v>
      </c>
      <c r="H1884">
        <v>8</v>
      </c>
      <c r="I1884">
        <v>298.20999999999998</v>
      </c>
      <c r="J1884">
        <v>0</v>
      </c>
      <c r="K1884">
        <v>176.22</v>
      </c>
    </row>
    <row r="1885" spans="1:11" x14ac:dyDescent="0.3">
      <c r="A1885" s="1">
        <v>45052</v>
      </c>
      <c r="B1885" t="s">
        <v>11</v>
      </c>
      <c r="C1885" t="s">
        <v>29</v>
      </c>
      <c r="D1885" t="s">
        <v>27</v>
      </c>
      <c r="E1885" t="s">
        <v>20</v>
      </c>
      <c r="F1885" t="s">
        <v>16</v>
      </c>
      <c r="G1885">
        <v>135.22</v>
      </c>
      <c r="H1885">
        <v>11</v>
      </c>
      <c r="I1885">
        <v>150.66</v>
      </c>
      <c r="J1885">
        <v>0</v>
      </c>
      <c r="K1885">
        <v>15.44</v>
      </c>
    </row>
    <row r="1886" spans="1:11" x14ac:dyDescent="0.3">
      <c r="A1886" s="1">
        <v>45128</v>
      </c>
      <c r="B1886" t="s">
        <v>17</v>
      </c>
      <c r="C1886" t="s">
        <v>29</v>
      </c>
      <c r="D1886" t="s">
        <v>19</v>
      </c>
      <c r="E1886" t="s">
        <v>14</v>
      </c>
      <c r="F1886" t="s">
        <v>26</v>
      </c>
      <c r="G1886">
        <v>23.54</v>
      </c>
      <c r="H1886">
        <v>19</v>
      </c>
      <c r="I1886">
        <v>1345.98</v>
      </c>
      <c r="J1886">
        <v>3</v>
      </c>
      <c r="K1886">
        <v>1182.46</v>
      </c>
    </row>
    <row r="1887" spans="1:11" x14ac:dyDescent="0.3">
      <c r="A1887" s="1">
        <v>45015</v>
      </c>
      <c r="B1887" t="s">
        <v>11</v>
      </c>
      <c r="C1887" t="s">
        <v>18</v>
      </c>
      <c r="D1887" t="s">
        <v>27</v>
      </c>
      <c r="E1887" t="s">
        <v>14</v>
      </c>
      <c r="F1887" t="s">
        <v>22</v>
      </c>
      <c r="G1887">
        <v>165.18</v>
      </c>
      <c r="H1887">
        <v>16</v>
      </c>
      <c r="I1887">
        <v>1146.8900000000001</v>
      </c>
      <c r="J1887">
        <v>1</v>
      </c>
      <c r="K1887">
        <v>970.6</v>
      </c>
    </row>
    <row r="1888" spans="1:11" x14ac:dyDescent="0.3">
      <c r="A1888" s="1">
        <v>45135</v>
      </c>
      <c r="B1888" t="s">
        <v>17</v>
      </c>
      <c r="C1888" t="s">
        <v>12</v>
      </c>
      <c r="D1888" t="s">
        <v>25</v>
      </c>
      <c r="E1888" t="s">
        <v>14</v>
      </c>
      <c r="F1888" t="s">
        <v>22</v>
      </c>
      <c r="G1888">
        <v>188.57</v>
      </c>
      <c r="H1888">
        <v>4</v>
      </c>
      <c r="I1888">
        <v>266.08999999999997</v>
      </c>
      <c r="J1888">
        <v>0</v>
      </c>
      <c r="K1888">
        <v>77.52</v>
      </c>
    </row>
    <row r="1889" spans="1:11" x14ac:dyDescent="0.3">
      <c r="A1889" s="1">
        <v>45134</v>
      </c>
      <c r="B1889" t="s">
        <v>17</v>
      </c>
      <c r="C1889" t="s">
        <v>12</v>
      </c>
      <c r="D1889" t="s">
        <v>13</v>
      </c>
      <c r="E1889" t="s">
        <v>14</v>
      </c>
      <c r="F1889" t="s">
        <v>22</v>
      </c>
      <c r="G1889">
        <v>136.65</v>
      </c>
      <c r="H1889">
        <v>10</v>
      </c>
      <c r="I1889">
        <v>513.46</v>
      </c>
      <c r="J1889">
        <v>0</v>
      </c>
      <c r="K1889">
        <v>376.81</v>
      </c>
    </row>
    <row r="1890" spans="1:11" x14ac:dyDescent="0.3">
      <c r="A1890" s="1">
        <v>45064</v>
      </c>
      <c r="B1890" t="s">
        <v>11</v>
      </c>
      <c r="C1890" t="s">
        <v>18</v>
      </c>
      <c r="D1890" t="s">
        <v>19</v>
      </c>
      <c r="E1890" t="s">
        <v>14</v>
      </c>
      <c r="F1890" t="s">
        <v>15</v>
      </c>
      <c r="G1890">
        <v>111.46</v>
      </c>
      <c r="H1890">
        <v>17</v>
      </c>
      <c r="I1890">
        <v>252.27</v>
      </c>
      <c r="J1890">
        <v>2</v>
      </c>
      <c r="K1890">
        <v>78.400000000000006</v>
      </c>
    </row>
    <row r="1891" spans="1:11" x14ac:dyDescent="0.3">
      <c r="A1891" s="1">
        <v>44992</v>
      </c>
      <c r="B1891" t="s">
        <v>11</v>
      </c>
      <c r="C1891" t="s">
        <v>12</v>
      </c>
      <c r="D1891" t="s">
        <v>27</v>
      </c>
      <c r="E1891" t="s">
        <v>14</v>
      </c>
      <c r="F1891" t="s">
        <v>22</v>
      </c>
      <c r="G1891">
        <v>58.43</v>
      </c>
      <c r="H1891">
        <v>8</v>
      </c>
      <c r="I1891">
        <v>219.5</v>
      </c>
      <c r="J1891">
        <v>1</v>
      </c>
      <c r="K1891">
        <v>150.88</v>
      </c>
    </row>
    <row r="1892" spans="1:11" x14ac:dyDescent="0.3">
      <c r="A1892" s="1">
        <v>45019</v>
      </c>
      <c r="B1892" t="s">
        <v>11</v>
      </c>
      <c r="C1892" t="s">
        <v>12</v>
      </c>
      <c r="D1892" t="s">
        <v>25</v>
      </c>
      <c r="E1892" t="s">
        <v>20</v>
      </c>
      <c r="F1892" t="s">
        <v>26</v>
      </c>
      <c r="G1892">
        <v>55.01</v>
      </c>
      <c r="H1892">
        <v>1</v>
      </c>
      <c r="I1892">
        <v>57.94</v>
      </c>
      <c r="J1892">
        <v>1</v>
      </c>
      <c r="K1892">
        <v>-40.4</v>
      </c>
    </row>
    <row r="1893" spans="1:11" x14ac:dyDescent="0.3">
      <c r="A1893" s="1">
        <v>45065</v>
      </c>
      <c r="B1893" t="s">
        <v>11</v>
      </c>
      <c r="C1893" t="s">
        <v>18</v>
      </c>
      <c r="D1893" t="s">
        <v>28</v>
      </c>
      <c r="E1893" t="s">
        <v>14</v>
      </c>
      <c r="F1893" t="s">
        <v>22</v>
      </c>
      <c r="G1893">
        <v>128.93</v>
      </c>
      <c r="H1893">
        <v>2</v>
      </c>
      <c r="I1893">
        <v>75.569999999999993</v>
      </c>
      <c r="J1893">
        <v>2</v>
      </c>
      <c r="K1893">
        <v>-63.7</v>
      </c>
    </row>
    <row r="1894" spans="1:11" x14ac:dyDescent="0.3">
      <c r="A1894" s="1">
        <v>45028</v>
      </c>
      <c r="B1894" t="s">
        <v>11</v>
      </c>
      <c r="C1894" t="s">
        <v>29</v>
      </c>
      <c r="D1894" t="s">
        <v>28</v>
      </c>
      <c r="E1894" t="s">
        <v>20</v>
      </c>
      <c r="F1894" t="s">
        <v>26</v>
      </c>
      <c r="G1894">
        <v>10.26</v>
      </c>
      <c r="H1894">
        <v>13</v>
      </c>
      <c r="I1894">
        <v>355.75</v>
      </c>
      <c r="J1894">
        <v>2</v>
      </c>
      <c r="K1894">
        <v>247.1</v>
      </c>
    </row>
    <row r="1895" spans="1:11" x14ac:dyDescent="0.3">
      <c r="A1895" s="1">
        <v>45217</v>
      </c>
      <c r="B1895" t="s">
        <v>23</v>
      </c>
      <c r="C1895" t="s">
        <v>12</v>
      </c>
      <c r="D1895" t="s">
        <v>19</v>
      </c>
      <c r="E1895" t="s">
        <v>20</v>
      </c>
      <c r="F1895" t="s">
        <v>22</v>
      </c>
      <c r="G1895">
        <v>188.28</v>
      </c>
      <c r="H1895">
        <v>18</v>
      </c>
      <c r="I1895">
        <v>1761.34</v>
      </c>
      <c r="J1895">
        <v>3</v>
      </c>
      <c r="K1895">
        <v>1555.5</v>
      </c>
    </row>
    <row r="1896" spans="1:11" x14ac:dyDescent="0.3">
      <c r="A1896" s="1">
        <v>45136</v>
      </c>
      <c r="B1896" t="s">
        <v>17</v>
      </c>
      <c r="C1896" t="s">
        <v>18</v>
      </c>
      <c r="D1896" t="s">
        <v>13</v>
      </c>
      <c r="E1896" t="s">
        <v>14</v>
      </c>
      <c r="F1896" t="s">
        <v>16</v>
      </c>
      <c r="G1896">
        <v>91.26</v>
      </c>
      <c r="H1896">
        <v>20</v>
      </c>
      <c r="I1896">
        <v>1731.58</v>
      </c>
      <c r="J1896">
        <v>3</v>
      </c>
      <c r="K1896">
        <v>1512.07</v>
      </c>
    </row>
    <row r="1897" spans="1:11" x14ac:dyDescent="0.3">
      <c r="A1897" s="1">
        <v>45150</v>
      </c>
      <c r="B1897" t="s">
        <v>17</v>
      </c>
      <c r="C1897" t="s">
        <v>24</v>
      </c>
      <c r="D1897" t="s">
        <v>13</v>
      </c>
      <c r="E1897" t="s">
        <v>14</v>
      </c>
      <c r="F1897" t="s">
        <v>16</v>
      </c>
      <c r="G1897">
        <v>105.8</v>
      </c>
      <c r="H1897">
        <v>20</v>
      </c>
      <c r="I1897">
        <v>1171.92</v>
      </c>
      <c r="J1897">
        <v>1</v>
      </c>
      <c r="K1897">
        <v>1023.27</v>
      </c>
    </row>
    <row r="1898" spans="1:11" x14ac:dyDescent="0.3">
      <c r="A1898" s="1">
        <v>45285</v>
      </c>
      <c r="B1898" t="s">
        <v>21</v>
      </c>
      <c r="C1898" t="s">
        <v>18</v>
      </c>
      <c r="D1898" t="s">
        <v>13</v>
      </c>
      <c r="E1898" t="s">
        <v>14</v>
      </c>
      <c r="F1898" t="s">
        <v>15</v>
      </c>
      <c r="G1898">
        <v>8.51</v>
      </c>
      <c r="H1898">
        <v>1</v>
      </c>
      <c r="I1898">
        <v>81.540000000000006</v>
      </c>
      <c r="J1898">
        <v>1</v>
      </c>
      <c r="K1898">
        <v>66.430000000000007</v>
      </c>
    </row>
    <row r="1899" spans="1:11" x14ac:dyDescent="0.3">
      <c r="A1899" s="1">
        <v>45262</v>
      </c>
      <c r="B1899" t="s">
        <v>21</v>
      </c>
      <c r="C1899" t="s">
        <v>18</v>
      </c>
      <c r="D1899" t="s">
        <v>19</v>
      </c>
      <c r="E1899" t="s">
        <v>14</v>
      </c>
      <c r="F1899" t="s">
        <v>15</v>
      </c>
      <c r="G1899">
        <v>53.9</v>
      </c>
      <c r="H1899">
        <v>13</v>
      </c>
      <c r="I1899">
        <v>1013.34</v>
      </c>
      <c r="J1899">
        <v>2</v>
      </c>
      <c r="K1899">
        <v>928.42</v>
      </c>
    </row>
    <row r="1900" spans="1:11" x14ac:dyDescent="0.3">
      <c r="A1900" s="1">
        <v>45003</v>
      </c>
      <c r="B1900" t="s">
        <v>11</v>
      </c>
      <c r="C1900" t="s">
        <v>24</v>
      </c>
      <c r="D1900" t="s">
        <v>27</v>
      </c>
      <c r="E1900" t="s">
        <v>14</v>
      </c>
      <c r="F1900" t="s">
        <v>26</v>
      </c>
      <c r="G1900">
        <v>60</v>
      </c>
      <c r="H1900">
        <v>3</v>
      </c>
      <c r="I1900">
        <v>34.04</v>
      </c>
      <c r="J1900">
        <v>0</v>
      </c>
      <c r="K1900">
        <v>-25.96</v>
      </c>
    </row>
    <row r="1901" spans="1:11" x14ac:dyDescent="0.3">
      <c r="A1901" s="1">
        <v>44993</v>
      </c>
      <c r="B1901" t="s">
        <v>11</v>
      </c>
      <c r="C1901" t="s">
        <v>12</v>
      </c>
      <c r="D1901" t="s">
        <v>27</v>
      </c>
      <c r="E1901" t="s">
        <v>20</v>
      </c>
      <c r="F1901" t="s">
        <v>22</v>
      </c>
      <c r="G1901">
        <v>42.28</v>
      </c>
      <c r="H1901">
        <v>7</v>
      </c>
      <c r="I1901">
        <v>496.55</v>
      </c>
      <c r="J1901">
        <v>3</v>
      </c>
      <c r="K1901">
        <v>355.98</v>
      </c>
    </row>
    <row r="1902" spans="1:11" x14ac:dyDescent="0.3">
      <c r="A1902" s="1">
        <v>45186</v>
      </c>
      <c r="B1902" t="s">
        <v>23</v>
      </c>
      <c r="C1902" t="s">
        <v>12</v>
      </c>
      <c r="D1902" t="s">
        <v>19</v>
      </c>
      <c r="E1902" t="s">
        <v>14</v>
      </c>
      <c r="F1902" t="s">
        <v>26</v>
      </c>
      <c r="G1902">
        <v>31.73</v>
      </c>
      <c r="H1902">
        <v>13</v>
      </c>
      <c r="I1902">
        <v>360.3</v>
      </c>
      <c r="J1902">
        <v>0</v>
      </c>
      <c r="K1902">
        <v>328.57</v>
      </c>
    </row>
    <row r="1903" spans="1:11" x14ac:dyDescent="0.3">
      <c r="A1903" s="1">
        <v>45220</v>
      </c>
      <c r="B1903" t="s">
        <v>23</v>
      </c>
      <c r="C1903" t="s">
        <v>12</v>
      </c>
      <c r="D1903" t="s">
        <v>13</v>
      </c>
      <c r="E1903" t="s">
        <v>14</v>
      </c>
      <c r="F1903" t="s">
        <v>16</v>
      </c>
      <c r="G1903">
        <v>8.19</v>
      </c>
      <c r="H1903">
        <v>16</v>
      </c>
      <c r="I1903">
        <v>1271.51</v>
      </c>
      <c r="J1903">
        <v>3</v>
      </c>
      <c r="K1903">
        <v>1239.94</v>
      </c>
    </row>
    <row r="1904" spans="1:11" x14ac:dyDescent="0.3">
      <c r="A1904" s="1">
        <v>45273</v>
      </c>
      <c r="B1904" t="s">
        <v>21</v>
      </c>
      <c r="C1904" t="s">
        <v>18</v>
      </c>
      <c r="D1904" t="s">
        <v>19</v>
      </c>
      <c r="E1904" t="s">
        <v>20</v>
      </c>
      <c r="F1904" t="s">
        <v>26</v>
      </c>
      <c r="G1904">
        <v>78.650000000000006</v>
      </c>
      <c r="H1904">
        <v>9</v>
      </c>
      <c r="I1904">
        <v>894.12</v>
      </c>
      <c r="J1904">
        <v>3</v>
      </c>
      <c r="K1904">
        <v>792.44</v>
      </c>
    </row>
    <row r="1905" spans="1:11" x14ac:dyDescent="0.3">
      <c r="A1905" s="1">
        <v>45162</v>
      </c>
      <c r="B1905" t="s">
        <v>17</v>
      </c>
      <c r="C1905" t="s">
        <v>29</v>
      </c>
      <c r="D1905" t="s">
        <v>19</v>
      </c>
      <c r="E1905" t="s">
        <v>14</v>
      </c>
      <c r="F1905" t="s">
        <v>16</v>
      </c>
      <c r="G1905">
        <v>49.25</v>
      </c>
      <c r="H1905">
        <v>11</v>
      </c>
      <c r="I1905">
        <v>743.11</v>
      </c>
      <c r="J1905">
        <v>3</v>
      </c>
      <c r="K1905">
        <v>621.47</v>
      </c>
    </row>
    <row r="1906" spans="1:11" x14ac:dyDescent="0.3">
      <c r="A1906" s="1">
        <v>45005</v>
      </c>
      <c r="B1906" t="s">
        <v>11</v>
      </c>
      <c r="C1906" t="s">
        <v>29</v>
      </c>
      <c r="D1906" t="s">
        <v>28</v>
      </c>
      <c r="E1906" t="s">
        <v>20</v>
      </c>
      <c r="F1906" t="s">
        <v>16</v>
      </c>
      <c r="G1906">
        <v>70.260000000000005</v>
      </c>
      <c r="H1906">
        <v>11</v>
      </c>
      <c r="I1906">
        <v>370.79</v>
      </c>
      <c r="J1906">
        <v>2</v>
      </c>
      <c r="K1906">
        <v>236.8</v>
      </c>
    </row>
    <row r="1907" spans="1:11" x14ac:dyDescent="0.3">
      <c r="A1907" s="1">
        <v>44952</v>
      </c>
      <c r="B1907" t="s">
        <v>21</v>
      </c>
      <c r="C1907" t="s">
        <v>18</v>
      </c>
      <c r="D1907" t="s">
        <v>25</v>
      </c>
      <c r="E1907" t="s">
        <v>20</v>
      </c>
      <c r="F1907" t="s">
        <v>22</v>
      </c>
      <c r="G1907">
        <v>176.4</v>
      </c>
      <c r="H1907">
        <v>6</v>
      </c>
      <c r="I1907">
        <v>437.83</v>
      </c>
      <c r="J1907">
        <v>0</v>
      </c>
      <c r="K1907">
        <v>261.43</v>
      </c>
    </row>
    <row r="1908" spans="1:11" x14ac:dyDescent="0.3">
      <c r="A1908" s="1">
        <v>44976</v>
      </c>
      <c r="B1908" t="s">
        <v>21</v>
      </c>
      <c r="C1908" t="s">
        <v>18</v>
      </c>
      <c r="D1908" t="s">
        <v>28</v>
      </c>
      <c r="E1908" t="s">
        <v>14</v>
      </c>
      <c r="F1908" t="s">
        <v>22</v>
      </c>
      <c r="G1908">
        <v>73.010000000000005</v>
      </c>
      <c r="H1908">
        <v>16</v>
      </c>
      <c r="I1908">
        <v>827.21</v>
      </c>
      <c r="J1908">
        <v>1</v>
      </c>
      <c r="K1908">
        <v>734.07</v>
      </c>
    </row>
    <row r="1909" spans="1:11" x14ac:dyDescent="0.3">
      <c r="A1909" s="1">
        <v>45027</v>
      </c>
      <c r="B1909" t="s">
        <v>11</v>
      </c>
      <c r="C1909" t="s">
        <v>12</v>
      </c>
      <c r="D1909" t="s">
        <v>13</v>
      </c>
      <c r="E1909" t="s">
        <v>14</v>
      </c>
      <c r="F1909" t="s">
        <v>16</v>
      </c>
      <c r="G1909">
        <v>141.09</v>
      </c>
      <c r="H1909">
        <v>18</v>
      </c>
      <c r="I1909">
        <v>1407.81</v>
      </c>
      <c r="J1909">
        <v>2</v>
      </c>
      <c r="K1909">
        <v>1225.07</v>
      </c>
    </row>
    <row r="1910" spans="1:11" x14ac:dyDescent="0.3">
      <c r="A1910" s="1">
        <v>45158</v>
      </c>
      <c r="B1910" t="s">
        <v>17</v>
      </c>
      <c r="C1910" t="s">
        <v>18</v>
      </c>
      <c r="D1910" t="s">
        <v>28</v>
      </c>
      <c r="E1910" t="s">
        <v>14</v>
      </c>
      <c r="F1910" t="s">
        <v>15</v>
      </c>
      <c r="G1910">
        <v>64.959999999999994</v>
      </c>
      <c r="H1910">
        <v>16</v>
      </c>
      <c r="I1910">
        <v>219.31</v>
      </c>
      <c r="J1910">
        <v>3</v>
      </c>
      <c r="K1910">
        <v>135.21</v>
      </c>
    </row>
    <row r="1911" spans="1:11" x14ac:dyDescent="0.3">
      <c r="A1911" s="1">
        <v>44955</v>
      </c>
      <c r="B1911" t="s">
        <v>21</v>
      </c>
      <c r="C1911" t="s">
        <v>12</v>
      </c>
      <c r="D1911" t="s">
        <v>19</v>
      </c>
      <c r="E1911" t="s">
        <v>14</v>
      </c>
      <c r="F1911" t="s">
        <v>26</v>
      </c>
      <c r="G1911">
        <v>91.07</v>
      </c>
      <c r="H1911">
        <v>11</v>
      </c>
      <c r="I1911">
        <v>707.81</v>
      </c>
      <c r="J1911">
        <v>0</v>
      </c>
      <c r="K1911">
        <v>616.74</v>
      </c>
    </row>
    <row r="1912" spans="1:11" x14ac:dyDescent="0.3">
      <c r="A1912" s="1">
        <v>45063</v>
      </c>
      <c r="B1912" t="s">
        <v>11</v>
      </c>
      <c r="C1912" t="s">
        <v>24</v>
      </c>
      <c r="D1912" t="s">
        <v>25</v>
      </c>
      <c r="E1912" t="s">
        <v>14</v>
      </c>
      <c r="F1912" t="s">
        <v>15</v>
      </c>
      <c r="G1912">
        <v>97.3</v>
      </c>
      <c r="H1912">
        <v>19</v>
      </c>
      <c r="I1912">
        <v>1339.91</v>
      </c>
      <c r="J1912">
        <v>0</v>
      </c>
      <c r="K1912">
        <v>1242.6099999999999</v>
      </c>
    </row>
    <row r="1913" spans="1:11" x14ac:dyDescent="0.3">
      <c r="A1913" s="1">
        <v>45081</v>
      </c>
      <c r="B1913" t="s">
        <v>17</v>
      </c>
      <c r="C1913" t="s">
        <v>24</v>
      </c>
      <c r="D1913" t="s">
        <v>13</v>
      </c>
      <c r="E1913" t="s">
        <v>20</v>
      </c>
      <c r="F1913" t="s">
        <v>15</v>
      </c>
      <c r="G1913">
        <v>151.12</v>
      </c>
      <c r="H1913">
        <v>5</v>
      </c>
      <c r="I1913">
        <v>94.77</v>
      </c>
      <c r="J1913">
        <v>3</v>
      </c>
      <c r="K1913">
        <v>-102.78</v>
      </c>
    </row>
    <row r="1914" spans="1:11" x14ac:dyDescent="0.3">
      <c r="A1914" s="1">
        <v>44938</v>
      </c>
      <c r="B1914" t="s">
        <v>21</v>
      </c>
      <c r="C1914" t="s">
        <v>29</v>
      </c>
      <c r="D1914" t="s">
        <v>28</v>
      </c>
      <c r="E1914" t="s">
        <v>20</v>
      </c>
      <c r="F1914" t="s">
        <v>22</v>
      </c>
      <c r="G1914">
        <v>68.69</v>
      </c>
      <c r="H1914">
        <v>6</v>
      </c>
      <c r="I1914">
        <v>599.84</v>
      </c>
      <c r="J1914">
        <v>3</v>
      </c>
      <c r="K1914">
        <v>459.51</v>
      </c>
    </row>
    <row r="1915" spans="1:11" x14ac:dyDescent="0.3">
      <c r="A1915" s="1">
        <v>45064</v>
      </c>
      <c r="B1915" t="s">
        <v>11</v>
      </c>
      <c r="C1915" t="s">
        <v>12</v>
      </c>
      <c r="D1915" t="s">
        <v>13</v>
      </c>
      <c r="E1915" t="s">
        <v>14</v>
      </c>
      <c r="F1915" t="s">
        <v>15</v>
      </c>
      <c r="G1915">
        <v>77.8</v>
      </c>
      <c r="H1915">
        <v>14</v>
      </c>
      <c r="I1915">
        <v>524.95000000000005</v>
      </c>
      <c r="J1915">
        <v>3</v>
      </c>
      <c r="K1915">
        <v>396.04</v>
      </c>
    </row>
    <row r="1916" spans="1:11" x14ac:dyDescent="0.3">
      <c r="A1916" s="1">
        <v>45156</v>
      </c>
      <c r="B1916" t="s">
        <v>17</v>
      </c>
      <c r="C1916" t="s">
        <v>24</v>
      </c>
      <c r="D1916" t="s">
        <v>19</v>
      </c>
      <c r="E1916" t="s">
        <v>14</v>
      </c>
      <c r="F1916" t="s">
        <v>15</v>
      </c>
      <c r="G1916">
        <v>176.44</v>
      </c>
      <c r="H1916">
        <v>1</v>
      </c>
      <c r="I1916">
        <v>77.739999999999995</v>
      </c>
      <c r="J1916">
        <v>1</v>
      </c>
      <c r="K1916">
        <v>-114.88</v>
      </c>
    </row>
    <row r="1917" spans="1:11" x14ac:dyDescent="0.3">
      <c r="A1917" s="1">
        <v>45113</v>
      </c>
      <c r="B1917" t="s">
        <v>17</v>
      </c>
      <c r="C1917" t="s">
        <v>24</v>
      </c>
      <c r="D1917" t="s">
        <v>27</v>
      </c>
      <c r="E1917" t="s">
        <v>14</v>
      </c>
      <c r="F1917" t="s">
        <v>15</v>
      </c>
      <c r="G1917">
        <v>120.2</v>
      </c>
      <c r="H1917">
        <v>19</v>
      </c>
      <c r="I1917">
        <v>552.5</v>
      </c>
      <c r="J1917">
        <v>1</v>
      </c>
      <c r="K1917">
        <v>409.85</v>
      </c>
    </row>
    <row r="1918" spans="1:11" x14ac:dyDescent="0.3">
      <c r="A1918" s="1">
        <v>45250</v>
      </c>
      <c r="B1918" t="s">
        <v>23</v>
      </c>
      <c r="C1918" t="s">
        <v>24</v>
      </c>
      <c r="D1918" t="s">
        <v>19</v>
      </c>
      <c r="E1918" t="s">
        <v>14</v>
      </c>
      <c r="F1918" t="s">
        <v>26</v>
      </c>
      <c r="G1918">
        <v>85.31</v>
      </c>
      <c r="H1918">
        <v>5</v>
      </c>
      <c r="I1918">
        <v>259.60000000000002</v>
      </c>
      <c r="J1918">
        <v>1</v>
      </c>
      <c r="K1918">
        <v>156.13999999999999</v>
      </c>
    </row>
    <row r="1919" spans="1:11" x14ac:dyDescent="0.3">
      <c r="A1919" s="1">
        <v>44959</v>
      </c>
      <c r="B1919" t="s">
        <v>21</v>
      </c>
      <c r="C1919" t="s">
        <v>24</v>
      </c>
      <c r="D1919" t="s">
        <v>25</v>
      </c>
      <c r="E1919" t="s">
        <v>20</v>
      </c>
      <c r="F1919" t="s">
        <v>16</v>
      </c>
      <c r="G1919">
        <v>79.290000000000006</v>
      </c>
      <c r="H1919">
        <v>1</v>
      </c>
      <c r="I1919">
        <v>23.32</v>
      </c>
      <c r="J1919">
        <v>1</v>
      </c>
      <c r="K1919">
        <v>-69.13</v>
      </c>
    </row>
    <row r="1920" spans="1:11" x14ac:dyDescent="0.3">
      <c r="A1920" s="1">
        <v>45040</v>
      </c>
      <c r="B1920" t="s">
        <v>11</v>
      </c>
      <c r="C1920" t="s">
        <v>29</v>
      </c>
      <c r="D1920" t="s">
        <v>27</v>
      </c>
      <c r="E1920" t="s">
        <v>20</v>
      </c>
      <c r="F1920" t="s">
        <v>16</v>
      </c>
      <c r="G1920">
        <v>195.98</v>
      </c>
      <c r="H1920">
        <v>14</v>
      </c>
      <c r="I1920">
        <v>514.16</v>
      </c>
      <c r="J1920">
        <v>3</v>
      </c>
      <c r="K1920">
        <v>288</v>
      </c>
    </row>
    <row r="1921" spans="1:11" x14ac:dyDescent="0.3">
      <c r="A1921" s="1">
        <v>44987</v>
      </c>
      <c r="B1921" t="s">
        <v>11</v>
      </c>
      <c r="C1921" t="s">
        <v>24</v>
      </c>
      <c r="D1921" t="s">
        <v>28</v>
      </c>
      <c r="E1921" t="s">
        <v>14</v>
      </c>
      <c r="F1921" t="s">
        <v>16</v>
      </c>
      <c r="G1921">
        <v>105.99</v>
      </c>
      <c r="H1921">
        <v>13</v>
      </c>
      <c r="I1921">
        <v>173.63</v>
      </c>
      <c r="J1921">
        <v>2</v>
      </c>
      <c r="K1921">
        <v>-11.37</v>
      </c>
    </row>
    <row r="1922" spans="1:11" x14ac:dyDescent="0.3">
      <c r="A1922" s="1">
        <v>45239</v>
      </c>
      <c r="B1922" t="s">
        <v>23</v>
      </c>
      <c r="C1922" t="s">
        <v>24</v>
      </c>
      <c r="D1922" t="s">
        <v>13</v>
      </c>
      <c r="E1922" t="s">
        <v>20</v>
      </c>
      <c r="F1922" t="s">
        <v>16</v>
      </c>
      <c r="G1922">
        <v>133.26</v>
      </c>
      <c r="H1922">
        <v>4</v>
      </c>
      <c r="I1922">
        <v>328.53</v>
      </c>
      <c r="J1922">
        <v>1</v>
      </c>
      <c r="K1922">
        <v>179.15</v>
      </c>
    </row>
    <row r="1923" spans="1:11" x14ac:dyDescent="0.3">
      <c r="A1923" s="1">
        <v>45064</v>
      </c>
      <c r="B1923" t="s">
        <v>11</v>
      </c>
      <c r="C1923" t="s">
        <v>18</v>
      </c>
      <c r="D1923" t="s">
        <v>28</v>
      </c>
      <c r="E1923" t="s">
        <v>14</v>
      </c>
      <c r="F1923" t="s">
        <v>26</v>
      </c>
      <c r="G1923">
        <v>11.41</v>
      </c>
      <c r="H1923">
        <v>4</v>
      </c>
      <c r="I1923">
        <v>44.78</v>
      </c>
      <c r="J1923">
        <v>0</v>
      </c>
      <c r="K1923">
        <v>33.369999999999997</v>
      </c>
    </row>
    <row r="1924" spans="1:11" x14ac:dyDescent="0.3">
      <c r="A1924" s="1">
        <v>44935</v>
      </c>
      <c r="B1924" t="s">
        <v>21</v>
      </c>
      <c r="C1924" t="s">
        <v>18</v>
      </c>
      <c r="D1924" t="s">
        <v>25</v>
      </c>
      <c r="E1924" t="s">
        <v>20</v>
      </c>
      <c r="F1924" t="s">
        <v>26</v>
      </c>
      <c r="G1924">
        <v>189.08</v>
      </c>
      <c r="H1924">
        <v>3</v>
      </c>
      <c r="I1924">
        <v>254.94</v>
      </c>
      <c r="J1924">
        <v>3</v>
      </c>
      <c r="K1924">
        <v>-28.55</v>
      </c>
    </row>
    <row r="1925" spans="1:11" x14ac:dyDescent="0.3">
      <c r="A1925" s="1">
        <v>44958</v>
      </c>
      <c r="B1925" t="s">
        <v>21</v>
      </c>
      <c r="C1925" t="s">
        <v>12</v>
      </c>
      <c r="D1925" t="s">
        <v>28</v>
      </c>
      <c r="E1925" t="s">
        <v>20</v>
      </c>
      <c r="F1925" t="s">
        <v>16</v>
      </c>
      <c r="G1925">
        <v>174.69</v>
      </c>
      <c r="H1925">
        <v>10</v>
      </c>
      <c r="I1925">
        <v>387.64</v>
      </c>
      <c r="J1925">
        <v>2</v>
      </c>
      <c r="K1925">
        <v>139.16</v>
      </c>
    </row>
    <row r="1926" spans="1:11" x14ac:dyDescent="0.3">
      <c r="A1926" s="1">
        <v>45132</v>
      </c>
      <c r="B1926" t="s">
        <v>17</v>
      </c>
      <c r="C1926" t="s">
        <v>18</v>
      </c>
      <c r="D1926" t="s">
        <v>13</v>
      </c>
      <c r="E1926" t="s">
        <v>14</v>
      </c>
      <c r="F1926" t="s">
        <v>16</v>
      </c>
      <c r="G1926">
        <v>156.88999999999999</v>
      </c>
      <c r="H1926">
        <v>16</v>
      </c>
      <c r="I1926">
        <v>1430.36</v>
      </c>
      <c r="J1926">
        <v>3</v>
      </c>
      <c r="K1926">
        <v>1211.18</v>
      </c>
    </row>
    <row r="1927" spans="1:11" x14ac:dyDescent="0.3">
      <c r="A1927" s="1">
        <v>44962</v>
      </c>
      <c r="B1927" t="s">
        <v>21</v>
      </c>
      <c r="C1927" t="s">
        <v>24</v>
      </c>
      <c r="D1927" t="s">
        <v>19</v>
      </c>
      <c r="E1927" t="s">
        <v>20</v>
      </c>
      <c r="F1927" t="s">
        <v>26</v>
      </c>
      <c r="G1927">
        <v>50.65</v>
      </c>
      <c r="H1927">
        <v>18</v>
      </c>
      <c r="I1927">
        <v>650.08000000000004</v>
      </c>
      <c r="J1927">
        <v>0</v>
      </c>
      <c r="K1927">
        <v>599.42999999999995</v>
      </c>
    </row>
    <row r="1928" spans="1:11" x14ac:dyDescent="0.3">
      <c r="A1928" s="1">
        <v>45127</v>
      </c>
      <c r="B1928" t="s">
        <v>17</v>
      </c>
      <c r="C1928" t="s">
        <v>24</v>
      </c>
      <c r="D1928" t="s">
        <v>25</v>
      </c>
      <c r="E1928" t="s">
        <v>20</v>
      </c>
      <c r="F1928" t="s">
        <v>26</v>
      </c>
      <c r="G1928">
        <v>35.61</v>
      </c>
      <c r="H1928">
        <v>17</v>
      </c>
      <c r="I1928">
        <v>1597.07</v>
      </c>
      <c r="J1928">
        <v>3</v>
      </c>
      <c r="K1928">
        <v>1419.67</v>
      </c>
    </row>
    <row r="1929" spans="1:11" x14ac:dyDescent="0.3">
      <c r="A1929" s="1">
        <v>45047</v>
      </c>
      <c r="B1929" t="s">
        <v>11</v>
      </c>
      <c r="C1929" t="s">
        <v>29</v>
      </c>
      <c r="D1929" t="s">
        <v>25</v>
      </c>
      <c r="E1929" t="s">
        <v>20</v>
      </c>
      <c r="F1929" t="s">
        <v>15</v>
      </c>
      <c r="G1929">
        <v>176.68</v>
      </c>
      <c r="H1929">
        <v>7</v>
      </c>
      <c r="I1929">
        <v>306.08</v>
      </c>
      <c r="J1929">
        <v>0</v>
      </c>
      <c r="K1929">
        <v>129.4</v>
      </c>
    </row>
    <row r="1930" spans="1:11" x14ac:dyDescent="0.3">
      <c r="A1930" s="1">
        <v>45017</v>
      </c>
      <c r="B1930" t="s">
        <v>11</v>
      </c>
      <c r="C1930" t="s">
        <v>12</v>
      </c>
      <c r="D1930" t="s">
        <v>27</v>
      </c>
      <c r="E1930" t="s">
        <v>20</v>
      </c>
      <c r="F1930" t="s">
        <v>15</v>
      </c>
      <c r="G1930">
        <v>80.14</v>
      </c>
      <c r="H1930">
        <v>6</v>
      </c>
      <c r="I1930">
        <v>394.57</v>
      </c>
      <c r="J1930">
        <v>0</v>
      </c>
      <c r="K1930">
        <v>314.43</v>
      </c>
    </row>
    <row r="1931" spans="1:11" x14ac:dyDescent="0.3">
      <c r="A1931" s="1">
        <v>44941</v>
      </c>
      <c r="B1931" t="s">
        <v>21</v>
      </c>
      <c r="C1931" t="s">
        <v>18</v>
      </c>
      <c r="D1931" t="s">
        <v>28</v>
      </c>
      <c r="E1931" t="s">
        <v>20</v>
      </c>
      <c r="F1931" t="s">
        <v>16</v>
      </c>
      <c r="G1931">
        <v>191.65</v>
      </c>
      <c r="H1931">
        <v>11</v>
      </c>
      <c r="I1931">
        <v>228.65</v>
      </c>
      <c r="J1931">
        <v>0</v>
      </c>
      <c r="K1931">
        <v>37</v>
      </c>
    </row>
    <row r="1932" spans="1:11" x14ac:dyDescent="0.3">
      <c r="A1932" s="1">
        <v>45252</v>
      </c>
      <c r="B1932" t="s">
        <v>23</v>
      </c>
      <c r="C1932" t="s">
        <v>18</v>
      </c>
      <c r="D1932" t="s">
        <v>27</v>
      </c>
      <c r="E1932" t="s">
        <v>14</v>
      </c>
      <c r="F1932" t="s">
        <v>16</v>
      </c>
      <c r="G1932">
        <v>148.08000000000001</v>
      </c>
      <c r="H1932">
        <v>15</v>
      </c>
      <c r="I1932">
        <v>305.18</v>
      </c>
      <c r="J1932">
        <v>0</v>
      </c>
      <c r="K1932">
        <v>157.1</v>
      </c>
    </row>
    <row r="1933" spans="1:11" x14ac:dyDescent="0.3">
      <c r="A1933" s="1">
        <v>45237</v>
      </c>
      <c r="B1933" t="s">
        <v>23</v>
      </c>
      <c r="C1933" t="s">
        <v>18</v>
      </c>
      <c r="D1933" t="s">
        <v>25</v>
      </c>
      <c r="E1933" t="s">
        <v>14</v>
      </c>
      <c r="F1933" t="s">
        <v>26</v>
      </c>
      <c r="G1933">
        <v>154.44</v>
      </c>
      <c r="H1933">
        <v>4</v>
      </c>
      <c r="I1933">
        <v>387.69</v>
      </c>
      <c r="J1933">
        <v>0</v>
      </c>
      <c r="K1933">
        <v>233.25</v>
      </c>
    </row>
    <row r="1934" spans="1:11" x14ac:dyDescent="0.3">
      <c r="A1934" s="1">
        <v>45198</v>
      </c>
      <c r="B1934" t="s">
        <v>23</v>
      </c>
      <c r="C1934" t="s">
        <v>18</v>
      </c>
      <c r="D1934" t="s">
        <v>13</v>
      </c>
      <c r="E1934" t="s">
        <v>20</v>
      </c>
      <c r="F1934" t="s">
        <v>22</v>
      </c>
      <c r="G1934">
        <v>10.77</v>
      </c>
      <c r="H1934">
        <v>19</v>
      </c>
      <c r="I1934">
        <v>921.62</v>
      </c>
      <c r="J1934">
        <v>1</v>
      </c>
      <c r="K1934">
        <v>862.33</v>
      </c>
    </row>
    <row r="1935" spans="1:11" x14ac:dyDescent="0.3">
      <c r="A1935" s="1">
        <v>45242</v>
      </c>
      <c r="B1935" t="s">
        <v>23</v>
      </c>
      <c r="C1935" t="s">
        <v>29</v>
      </c>
      <c r="D1935" t="s">
        <v>13</v>
      </c>
      <c r="E1935" t="s">
        <v>14</v>
      </c>
      <c r="F1935" t="s">
        <v>26</v>
      </c>
      <c r="G1935">
        <v>126.84</v>
      </c>
      <c r="H1935">
        <v>12</v>
      </c>
      <c r="I1935">
        <v>1011.35</v>
      </c>
      <c r="J1935">
        <v>3</v>
      </c>
      <c r="K1935">
        <v>776.93</v>
      </c>
    </row>
    <row r="1936" spans="1:11" x14ac:dyDescent="0.3">
      <c r="A1936" s="1">
        <v>45019</v>
      </c>
      <c r="B1936" t="s">
        <v>11</v>
      </c>
      <c r="C1936" t="s">
        <v>29</v>
      </c>
      <c r="D1936" t="s">
        <v>19</v>
      </c>
      <c r="E1936" t="s">
        <v>20</v>
      </c>
      <c r="F1936" t="s">
        <v>22</v>
      </c>
      <c r="G1936">
        <v>140.93</v>
      </c>
      <c r="H1936">
        <v>5</v>
      </c>
      <c r="I1936">
        <v>460.14</v>
      </c>
      <c r="J1936">
        <v>3</v>
      </c>
      <c r="K1936">
        <v>181.64</v>
      </c>
    </row>
    <row r="1937" spans="1:11" x14ac:dyDescent="0.3">
      <c r="A1937" s="1">
        <v>45109</v>
      </c>
      <c r="B1937" t="s">
        <v>17</v>
      </c>
      <c r="C1937" t="s">
        <v>29</v>
      </c>
      <c r="D1937" t="s">
        <v>27</v>
      </c>
      <c r="E1937" t="s">
        <v>14</v>
      </c>
      <c r="F1937" t="s">
        <v>26</v>
      </c>
      <c r="G1937">
        <v>150.44</v>
      </c>
      <c r="H1937">
        <v>14</v>
      </c>
      <c r="I1937">
        <v>972.51</v>
      </c>
      <c r="J1937">
        <v>1</v>
      </c>
      <c r="K1937">
        <v>787.53</v>
      </c>
    </row>
    <row r="1938" spans="1:11" x14ac:dyDescent="0.3">
      <c r="A1938" s="1">
        <v>45023</v>
      </c>
      <c r="B1938" t="s">
        <v>11</v>
      </c>
      <c r="C1938" t="s">
        <v>18</v>
      </c>
      <c r="D1938" t="s">
        <v>28</v>
      </c>
      <c r="E1938" t="s">
        <v>14</v>
      </c>
      <c r="F1938" t="s">
        <v>15</v>
      </c>
      <c r="G1938">
        <v>132.47999999999999</v>
      </c>
      <c r="H1938">
        <v>2</v>
      </c>
      <c r="I1938">
        <v>49.06</v>
      </c>
      <c r="J1938">
        <v>2</v>
      </c>
      <c r="K1938">
        <v>-162.83000000000001</v>
      </c>
    </row>
    <row r="1939" spans="1:11" x14ac:dyDescent="0.3">
      <c r="A1939" s="1">
        <v>45218</v>
      </c>
      <c r="B1939" t="s">
        <v>23</v>
      </c>
      <c r="C1939" t="s">
        <v>24</v>
      </c>
      <c r="D1939" t="s">
        <v>19</v>
      </c>
      <c r="E1939" t="s">
        <v>20</v>
      </c>
      <c r="F1939" t="s">
        <v>16</v>
      </c>
      <c r="G1939">
        <v>188.64</v>
      </c>
      <c r="H1939">
        <v>9</v>
      </c>
      <c r="I1939">
        <v>549.55999999999995</v>
      </c>
      <c r="J1939">
        <v>2</v>
      </c>
      <c r="K1939">
        <v>304.89</v>
      </c>
    </row>
    <row r="1940" spans="1:11" x14ac:dyDescent="0.3">
      <c r="A1940" s="1">
        <v>45047</v>
      </c>
      <c r="B1940" t="s">
        <v>11</v>
      </c>
      <c r="C1940" t="s">
        <v>12</v>
      </c>
      <c r="D1940" t="s">
        <v>27</v>
      </c>
      <c r="E1940" t="s">
        <v>14</v>
      </c>
      <c r="F1940" t="s">
        <v>22</v>
      </c>
      <c r="G1940">
        <v>89.54</v>
      </c>
      <c r="H1940">
        <v>3</v>
      </c>
      <c r="I1940">
        <v>54</v>
      </c>
      <c r="J1940">
        <v>2</v>
      </c>
      <c r="K1940">
        <v>-100.94</v>
      </c>
    </row>
    <row r="1941" spans="1:11" x14ac:dyDescent="0.3">
      <c r="A1941" s="1">
        <v>45290</v>
      </c>
      <c r="B1941" t="s">
        <v>21</v>
      </c>
      <c r="C1941" t="s">
        <v>18</v>
      </c>
      <c r="D1941" t="s">
        <v>28</v>
      </c>
      <c r="E1941" t="s">
        <v>14</v>
      </c>
      <c r="F1941" t="s">
        <v>26</v>
      </c>
      <c r="G1941">
        <v>160.82</v>
      </c>
      <c r="H1941">
        <v>10</v>
      </c>
      <c r="I1941">
        <v>777.65</v>
      </c>
      <c r="J1941">
        <v>0</v>
      </c>
      <c r="K1941">
        <v>616.83000000000004</v>
      </c>
    </row>
    <row r="1942" spans="1:11" x14ac:dyDescent="0.3">
      <c r="A1942" s="1">
        <v>45125</v>
      </c>
      <c r="B1942" t="s">
        <v>17</v>
      </c>
      <c r="C1942" t="s">
        <v>12</v>
      </c>
      <c r="D1942" t="s">
        <v>13</v>
      </c>
      <c r="E1942" t="s">
        <v>14</v>
      </c>
      <c r="F1942" t="s">
        <v>16</v>
      </c>
      <c r="G1942">
        <v>47.63</v>
      </c>
      <c r="H1942">
        <v>1</v>
      </c>
      <c r="I1942">
        <v>87.79</v>
      </c>
      <c r="J1942">
        <v>1</v>
      </c>
      <c r="K1942">
        <v>2.2000000000000002</v>
      </c>
    </row>
    <row r="1943" spans="1:11" x14ac:dyDescent="0.3">
      <c r="A1943" s="1">
        <v>45158</v>
      </c>
      <c r="B1943" t="s">
        <v>17</v>
      </c>
      <c r="C1943" t="s">
        <v>24</v>
      </c>
      <c r="D1943" t="s">
        <v>25</v>
      </c>
      <c r="E1943" t="s">
        <v>14</v>
      </c>
      <c r="F1943" t="s">
        <v>15</v>
      </c>
      <c r="G1943">
        <v>45.98</v>
      </c>
      <c r="H1943">
        <v>3</v>
      </c>
      <c r="I1943">
        <v>230.47</v>
      </c>
      <c r="J1943">
        <v>3</v>
      </c>
      <c r="K1943">
        <v>151.94999999999999</v>
      </c>
    </row>
    <row r="1944" spans="1:11" x14ac:dyDescent="0.3">
      <c r="A1944" s="1">
        <v>45057</v>
      </c>
      <c r="B1944" t="s">
        <v>11</v>
      </c>
      <c r="C1944" t="s">
        <v>12</v>
      </c>
      <c r="D1944" t="s">
        <v>19</v>
      </c>
      <c r="E1944" t="s">
        <v>20</v>
      </c>
      <c r="F1944" t="s">
        <v>15</v>
      </c>
      <c r="G1944">
        <v>126.65</v>
      </c>
      <c r="H1944">
        <v>13</v>
      </c>
      <c r="I1944">
        <v>967.05</v>
      </c>
      <c r="J1944">
        <v>1</v>
      </c>
      <c r="K1944">
        <v>798.07</v>
      </c>
    </row>
    <row r="1945" spans="1:11" x14ac:dyDescent="0.3">
      <c r="A1945" s="1">
        <v>45080</v>
      </c>
      <c r="B1945" t="s">
        <v>17</v>
      </c>
      <c r="C1945" t="s">
        <v>18</v>
      </c>
      <c r="D1945" t="s">
        <v>28</v>
      </c>
      <c r="E1945" t="s">
        <v>20</v>
      </c>
      <c r="F1945" t="s">
        <v>15</v>
      </c>
      <c r="G1945">
        <v>84.33</v>
      </c>
      <c r="H1945">
        <v>13</v>
      </c>
      <c r="I1945">
        <v>410.51</v>
      </c>
      <c r="J1945">
        <v>1</v>
      </c>
      <c r="K1945">
        <v>278.57</v>
      </c>
    </row>
    <row r="1946" spans="1:11" x14ac:dyDescent="0.3">
      <c r="A1946" s="1">
        <v>45037</v>
      </c>
      <c r="B1946" t="s">
        <v>11</v>
      </c>
      <c r="C1946" t="s">
        <v>24</v>
      </c>
      <c r="D1946" t="s">
        <v>27</v>
      </c>
      <c r="E1946" t="s">
        <v>14</v>
      </c>
      <c r="F1946" t="s">
        <v>15</v>
      </c>
      <c r="G1946">
        <v>78.98</v>
      </c>
      <c r="H1946">
        <v>1</v>
      </c>
      <c r="I1946">
        <v>75.19</v>
      </c>
      <c r="J1946">
        <v>1</v>
      </c>
      <c r="K1946">
        <v>-43.56</v>
      </c>
    </row>
    <row r="1947" spans="1:11" x14ac:dyDescent="0.3">
      <c r="A1947" s="1">
        <v>45092</v>
      </c>
      <c r="B1947" t="s">
        <v>17</v>
      </c>
      <c r="C1947" t="s">
        <v>24</v>
      </c>
      <c r="D1947" t="s">
        <v>19</v>
      </c>
      <c r="E1947" t="s">
        <v>14</v>
      </c>
      <c r="F1947" t="s">
        <v>26</v>
      </c>
      <c r="G1947">
        <v>67.09</v>
      </c>
      <c r="H1947">
        <v>3</v>
      </c>
      <c r="I1947">
        <v>114.03</v>
      </c>
      <c r="J1947">
        <v>1</v>
      </c>
      <c r="K1947">
        <v>8.67</v>
      </c>
    </row>
    <row r="1948" spans="1:11" x14ac:dyDescent="0.3">
      <c r="A1948" s="1">
        <v>45145</v>
      </c>
      <c r="B1948" t="s">
        <v>17</v>
      </c>
      <c r="C1948" t="s">
        <v>12</v>
      </c>
      <c r="D1948" t="s">
        <v>19</v>
      </c>
      <c r="E1948" t="s">
        <v>20</v>
      </c>
      <c r="F1948" t="s">
        <v>22</v>
      </c>
      <c r="G1948">
        <v>24.78</v>
      </c>
      <c r="H1948">
        <v>3</v>
      </c>
      <c r="I1948">
        <v>133.68</v>
      </c>
      <c r="J1948">
        <v>0</v>
      </c>
      <c r="K1948">
        <v>108.9</v>
      </c>
    </row>
    <row r="1949" spans="1:11" x14ac:dyDescent="0.3">
      <c r="A1949" s="1">
        <v>45094</v>
      </c>
      <c r="B1949" t="s">
        <v>17</v>
      </c>
      <c r="C1949" t="s">
        <v>18</v>
      </c>
      <c r="D1949" t="s">
        <v>13</v>
      </c>
      <c r="E1949" t="s">
        <v>14</v>
      </c>
      <c r="F1949" t="s">
        <v>26</v>
      </c>
      <c r="G1949">
        <v>194.55</v>
      </c>
      <c r="H1949">
        <v>14</v>
      </c>
      <c r="I1949">
        <v>382.45</v>
      </c>
      <c r="J1949">
        <v>0</v>
      </c>
      <c r="K1949">
        <v>187.9</v>
      </c>
    </row>
    <row r="1950" spans="1:11" x14ac:dyDescent="0.3">
      <c r="A1950" s="1">
        <v>45217</v>
      </c>
      <c r="B1950" t="s">
        <v>23</v>
      </c>
      <c r="C1950" t="s">
        <v>24</v>
      </c>
      <c r="D1950" t="s">
        <v>25</v>
      </c>
      <c r="E1950" t="s">
        <v>20</v>
      </c>
      <c r="F1950" t="s">
        <v>22</v>
      </c>
      <c r="G1950">
        <v>80</v>
      </c>
      <c r="H1950">
        <v>5</v>
      </c>
      <c r="I1950">
        <v>110.64</v>
      </c>
      <c r="J1950">
        <v>2</v>
      </c>
      <c r="K1950">
        <v>-52.84</v>
      </c>
    </row>
    <row r="1951" spans="1:11" x14ac:dyDescent="0.3">
      <c r="A1951" s="1">
        <v>45175</v>
      </c>
      <c r="B1951" t="s">
        <v>23</v>
      </c>
      <c r="C1951" t="s">
        <v>18</v>
      </c>
      <c r="D1951" t="s">
        <v>25</v>
      </c>
      <c r="E1951" t="s">
        <v>14</v>
      </c>
      <c r="F1951" t="s">
        <v>15</v>
      </c>
      <c r="G1951">
        <v>180.4</v>
      </c>
      <c r="H1951">
        <v>20</v>
      </c>
      <c r="I1951">
        <v>1844.53</v>
      </c>
      <c r="J1951">
        <v>1</v>
      </c>
      <c r="K1951">
        <v>1639.74</v>
      </c>
    </row>
    <row r="1952" spans="1:11" x14ac:dyDescent="0.3">
      <c r="A1952" s="1">
        <v>45269</v>
      </c>
      <c r="B1952" t="s">
        <v>21</v>
      </c>
      <c r="C1952" t="s">
        <v>18</v>
      </c>
      <c r="D1952" t="s">
        <v>27</v>
      </c>
      <c r="E1952" t="s">
        <v>14</v>
      </c>
      <c r="F1952" t="s">
        <v>26</v>
      </c>
      <c r="G1952">
        <v>194.86</v>
      </c>
      <c r="H1952">
        <v>15</v>
      </c>
      <c r="I1952">
        <v>1010.36</v>
      </c>
      <c r="J1952">
        <v>3</v>
      </c>
      <c r="K1952">
        <v>670.35</v>
      </c>
    </row>
    <row r="1953" spans="1:11" x14ac:dyDescent="0.3">
      <c r="A1953" s="1">
        <v>45002</v>
      </c>
      <c r="B1953" t="s">
        <v>11</v>
      </c>
      <c r="C1953" t="s">
        <v>24</v>
      </c>
      <c r="D1953" t="s">
        <v>25</v>
      </c>
      <c r="E1953" t="s">
        <v>20</v>
      </c>
      <c r="F1953" t="s">
        <v>26</v>
      </c>
      <c r="G1953">
        <v>193.01</v>
      </c>
      <c r="H1953">
        <v>1</v>
      </c>
      <c r="I1953">
        <v>22.38</v>
      </c>
      <c r="J1953">
        <v>1</v>
      </c>
      <c r="K1953">
        <v>-215.75</v>
      </c>
    </row>
    <row r="1954" spans="1:11" x14ac:dyDescent="0.3">
      <c r="A1954" s="1">
        <v>45040</v>
      </c>
      <c r="B1954" t="s">
        <v>11</v>
      </c>
      <c r="C1954" t="s">
        <v>18</v>
      </c>
      <c r="D1954" t="s">
        <v>13</v>
      </c>
      <c r="E1954" t="s">
        <v>14</v>
      </c>
      <c r="F1954" t="s">
        <v>15</v>
      </c>
      <c r="G1954">
        <v>141</v>
      </c>
      <c r="H1954">
        <v>16</v>
      </c>
      <c r="I1954">
        <v>1377.58</v>
      </c>
      <c r="J1954">
        <v>2</v>
      </c>
      <c r="K1954">
        <v>1179.69</v>
      </c>
    </row>
    <row r="1955" spans="1:11" x14ac:dyDescent="0.3">
      <c r="A1955" s="1">
        <v>45206</v>
      </c>
      <c r="B1955" t="s">
        <v>23</v>
      </c>
      <c r="C1955" t="s">
        <v>24</v>
      </c>
      <c r="D1955" t="s">
        <v>19</v>
      </c>
      <c r="E1955" t="s">
        <v>14</v>
      </c>
      <c r="F1955" t="s">
        <v>22</v>
      </c>
      <c r="G1955">
        <v>88.01</v>
      </c>
      <c r="H1955">
        <v>20</v>
      </c>
      <c r="I1955">
        <v>502.3</v>
      </c>
      <c r="J1955">
        <v>0</v>
      </c>
      <c r="K1955">
        <v>414.29</v>
      </c>
    </row>
    <row r="1956" spans="1:11" x14ac:dyDescent="0.3">
      <c r="A1956" s="1">
        <v>45057</v>
      </c>
      <c r="B1956" t="s">
        <v>11</v>
      </c>
      <c r="C1956" t="s">
        <v>12</v>
      </c>
      <c r="D1956" t="s">
        <v>27</v>
      </c>
      <c r="E1956" t="s">
        <v>20</v>
      </c>
      <c r="F1956" t="s">
        <v>15</v>
      </c>
      <c r="G1956">
        <v>168.12</v>
      </c>
      <c r="H1956">
        <v>3</v>
      </c>
      <c r="I1956">
        <v>153.74</v>
      </c>
      <c r="J1956">
        <v>3</v>
      </c>
      <c r="K1956">
        <v>-45.08</v>
      </c>
    </row>
    <row r="1957" spans="1:11" x14ac:dyDescent="0.3">
      <c r="A1957" s="1">
        <v>45281</v>
      </c>
      <c r="B1957" t="s">
        <v>21</v>
      </c>
      <c r="C1957" t="s">
        <v>12</v>
      </c>
      <c r="D1957" t="s">
        <v>27</v>
      </c>
      <c r="E1957" t="s">
        <v>20</v>
      </c>
      <c r="F1957" t="s">
        <v>15</v>
      </c>
      <c r="G1957">
        <v>21.6</v>
      </c>
      <c r="H1957">
        <v>2</v>
      </c>
      <c r="I1957">
        <v>131.53</v>
      </c>
      <c r="J1957">
        <v>0</v>
      </c>
      <c r="K1957">
        <v>109.93</v>
      </c>
    </row>
    <row r="1958" spans="1:11" x14ac:dyDescent="0.3">
      <c r="A1958" s="1">
        <v>44996</v>
      </c>
      <c r="B1958" t="s">
        <v>11</v>
      </c>
      <c r="C1958" t="s">
        <v>12</v>
      </c>
      <c r="D1958" t="s">
        <v>27</v>
      </c>
      <c r="E1958" t="s">
        <v>14</v>
      </c>
      <c r="F1958" t="s">
        <v>26</v>
      </c>
      <c r="G1958">
        <v>32.08</v>
      </c>
      <c r="H1958">
        <v>16</v>
      </c>
      <c r="I1958">
        <v>871.1</v>
      </c>
      <c r="J1958">
        <v>2</v>
      </c>
      <c r="K1958">
        <v>773.76</v>
      </c>
    </row>
    <row r="1959" spans="1:11" x14ac:dyDescent="0.3">
      <c r="A1959" s="1">
        <v>45142</v>
      </c>
      <c r="B1959" t="s">
        <v>17</v>
      </c>
      <c r="C1959" t="s">
        <v>18</v>
      </c>
      <c r="D1959" t="s">
        <v>28</v>
      </c>
      <c r="E1959" t="s">
        <v>14</v>
      </c>
      <c r="F1959" t="s">
        <v>22</v>
      </c>
      <c r="G1959">
        <v>50.9</v>
      </c>
      <c r="H1959">
        <v>17</v>
      </c>
      <c r="I1959">
        <v>894.35</v>
      </c>
      <c r="J1959">
        <v>2</v>
      </c>
      <c r="K1959">
        <v>819.07</v>
      </c>
    </row>
    <row r="1960" spans="1:11" x14ac:dyDescent="0.3">
      <c r="A1960" s="1">
        <v>45002</v>
      </c>
      <c r="B1960" t="s">
        <v>11</v>
      </c>
      <c r="C1960" t="s">
        <v>12</v>
      </c>
      <c r="D1960" t="s">
        <v>13</v>
      </c>
      <c r="E1960" t="s">
        <v>20</v>
      </c>
      <c r="F1960" t="s">
        <v>16</v>
      </c>
      <c r="G1960">
        <v>191.11</v>
      </c>
      <c r="H1960">
        <v>5</v>
      </c>
      <c r="I1960">
        <v>138.57</v>
      </c>
      <c r="J1960">
        <v>3</v>
      </c>
      <c r="K1960">
        <v>-118.48</v>
      </c>
    </row>
    <row r="1961" spans="1:11" x14ac:dyDescent="0.3">
      <c r="A1961" s="1">
        <v>45213</v>
      </c>
      <c r="B1961" t="s">
        <v>23</v>
      </c>
      <c r="C1961" t="s">
        <v>18</v>
      </c>
      <c r="D1961" t="s">
        <v>13</v>
      </c>
      <c r="E1961" t="s">
        <v>14</v>
      </c>
      <c r="F1961" t="s">
        <v>16</v>
      </c>
      <c r="G1961">
        <v>103.51</v>
      </c>
      <c r="H1961">
        <v>13</v>
      </c>
      <c r="I1961">
        <v>934.83</v>
      </c>
      <c r="J1961">
        <v>1</v>
      </c>
      <c r="K1961">
        <v>781.82</v>
      </c>
    </row>
    <row r="1962" spans="1:11" x14ac:dyDescent="0.3">
      <c r="A1962" s="1">
        <v>45062</v>
      </c>
      <c r="B1962" t="s">
        <v>11</v>
      </c>
      <c r="C1962" t="s">
        <v>12</v>
      </c>
      <c r="D1962" t="s">
        <v>19</v>
      </c>
      <c r="E1962" t="s">
        <v>14</v>
      </c>
      <c r="F1962" t="s">
        <v>15</v>
      </c>
      <c r="G1962">
        <v>137.61000000000001</v>
      </c>
      <c r="H1962">
        <v>5</v>
      </c>
      <c r="I1962">
        <v>133.32</v>
      </c>
      <c r="J1962">
        <v>3</v>
      </c>
      <c r="K1962">
        <v>-144.41999999999999</v>
      </c>
    </row>
    <row r="1963" spans="1:11" x14ac:dyDescent="0.3">
      <c r="A1963" s="1">
        <v>44982</v>
      </c>
      <c r="B1963" t="s">
        <v>21</v>
      </c>
      <c r="C1963" t="s">
        <v>29</v>
      </c>
      <c r="D1963" t="s">
        <v>19</v>
      </c>
      <c r="E1963" t="s">
        <v>14</v>
      </c>
      <c r="F1963" t="s">
        <v>15</v>
      </c>
      <c r="G1963">
        <v>63.75</v>
      </c>
      <c r="H1963">
        <v>2</v>
      </c>
      <c r="I1963">
        <v>113.23</v>
      </c>
      <c r="J1963">
        <v>1</v>
      </c>
      <c r="K1963">
        <v>22.08</v>
      </c>
    </row>
    <row r="1964" spans="1:11" x14ac:dyDescent="0.3">
      <c r="A1964" s="1">
        <v>45282</v>
      </c>
      <c r="B1964" t="s">
        <v>21</v>
      </c>
      <c r="C1964" t="s">
        <v>29</v>
      </c>
      <c r="D1964" t="s">
        <v>28</v>
      </c>
      <c r="E1964" t="s">
        <v>14</v>
      </c>
      <c r="F1964" t="s">
        <v>16</v>
      </c>
      <c r="G1964">
        <v>135.58000000000001</v>
      </c>
      <c r="H1964">
        <v>12</v>
      </c>
      <c r="I1964">
        <v>568.02</v>
      </c>
      <c r="J1964">
        <v>3</v>
      </c>
      <c r="K1964">
        <v>368.24</v>
      </c>
    </row>
    <row r="1965" spans="1:11" x14ac:dyDescent="0.3">
      <c r="A1965" s="1">
        <v>45129</v>
      </c>
      <c r="B1965" t="s">
        <v>17</v>
      </c>
      <c r="C1965" t="s">
        <v>24</v>
      </c>
      <c r="D1965" t="s">
        <v>13</v>
      </c>
      <c r="E1965" t="s">
        <v>20</v>
      </c>
      <c r="F1965" t="s">
        <v>22</v>
      </c>
      <c r="G1965">
        <v>19.829999999999998</v>
      </c>
      <c r="H1965">
        <v>14</v>
      </c>
      <c r="I1965">
        <v>571.67999999999995</v>
      </c>
      <c r="J1965">
        <v>2</v>
      </c>
      <c r="K1965">
        <v>511.28</v>
      </c>
    </row>
    <row r="1966" spans="1:11" x14ac:dyDescent="0.3">
      <c r="A1966" s="1">
        <v>45110</v>
      </c>
      <c r="B1966" t="s">
        <v>17</v>
      </c>
      <c r="C1966" t="s">
        <v>18</v>
      </c>
      <c r="D1966" t="s">
        <v>28</v>
      </c>
      <c r="E1966" t="s">
        <v>20</v>
      </c>
      <c r="F1966" t="s">
        <v>16</v>
      </c>
      <c r="G1966">
        <v>138.04</v>
      </c>
      <c r="H1966">
        <v>1</v>
      </c>
      <c r="I1966">
        <v>66.400000000000006</v>
      </c>
      <c r="J1966">
        <v>0</v>
      </c>
      <c r="K1966">
        <v>-71.64</v>
      </c>
    </row>
    <row r="1967" spans="1:11" x14ac:dyDescent="0.3">
      <c r="A1967" s="1">
        <v>45255</v>
      </c>
      <c r="B1967" t="s">
        <v>23</v>
      </c>
      <c r="C1967" t="s">
        <v>18</v>
      </c>
      <c r="D1967" t="s">
        <v>27</v>
      </c>
      <c r="E1967" t="s">
        <v>20</v>
      </c>
      <c r="F1967" t="s">
        <v>22</v>
      </c>
      <c r="G1967">
        <v>52.76</v>
      </c>
      <c r="H1967">
        <v>6</v>
      </c>
      <c r="I1967">
        <v>274.64</v>
      </c>
      <c r="J1967">
        <v>2</v>
      </c>
      <c r="K1967">
        <v>140</v>
      </c>
    </row>
    <row r="1968" spans="1:11" x14ac:dyDescent="0.3">
      <c r="A1968" s="1">
        <v>45106</v>
      </c>
      <c r="B1968" t="s">
        <v>17</v>
      </c>
      <c r="C1968" t="s">
        <v>18</v>
      </c>
      <c r="D1968" t="s">
        <v>19</v>
      </c>
      <c r="E1968" t="s">
        <v>14</v>
      </c>
      <c r="F1968" t="s">
        <v>26</v>
      </c>
      <c r="G1968">
        <v>158.16</v>
      </c>
      <c r="H1968">
        <v>13</v>
      </c>
      <c r="I1968">
        <v>306.77999999999997</v>
      </c>
      <c r="J1968">
        <v>2</v>
      </c>
      <c r="K1968">
        <v>100.47</v>
      </c>
    </row>
    <row r="1969" spans="1:11" x14ac:dyDescent="0.3">
      <c r="A1969" s="1">
        <v>45064</v>
      </c>
      <c r="B1969" t="s">
        <v>11</v>
      </c>
      <c r="C1969" t="s">
        <v>12</v>
      </c>
      <c r="D1969" t="s">
        <v>13</v>
      </c>
      <c r="E1969" t="s">
        <v>20</v>
      </c>
      <c r="F1969" t="s">
        <v>26</v>
      </c>
      <c r="G1969">
        <v>162.81</v>
      </c>
      <c r="H1969">
        <v>13</v>
      </c>
      <c r="I1969">
        <v>789.99</v>
      </c>
      <c r="J1969">
        <v>3</v>
      </c>
      <c r="K1969">
        <v>584.92999999999995</v>
      </c>
    </row>
    <row r="1970" spans="1:11" x14ac:dyDescent="0.3">
      <c r="A1970" s="1">
        <v>45176</v>
      </c>
      <c r="B1970" t="s">
        <v>23</v>
      </c>
      <c r="C1970" t="s">
        <v>18</v>
      </c>
      <c r="D1970" t="s">
        <v>25</v>
      </c>
      <c r="E1970" t="s">
        <v>20</v>
      </c>
      <c r="F1970" t="s">
        <v>22</v>
      </c>
      <c r="G1970">
        <v>149.38999999999999</v>
      </c>
      <c r="H1970">
        <v>18</v>
      </c>
      <c r="I1970">
        <v>211.1</v>
      </c>
      <c r="J1970">
        <v>0</v>
      </c>
      <c r="K1970">
        <v>61.71</v>
      </c>
    </row>
    <row r="1971" spans="1:11" x14ac:dyDescent="0.3">
      <c r="A1971" s="1">
        <v>45221</v>
      </c>
      <c r="B1971" t="s">
        <v>23</v>
      </c>
      <c r="C1971" t="s">
        <v>12</v>
      </c>
      <c r="D1971" t="s">
        <v>25</v>
      </c>
      <c r="E1971" t="s">
        <v>20</v>
      </c>
      <c r="F1971" t="s">
        <v>26</v>
      </c>
      <c r="G1971">
        <v>150.76</v>
      </c>
      <c r="H1971">
        <v>4</v>
      </c>
      <c r="I1971">
        <v>363</v>
      </c>
      <c r="J1971">
        <v>0</v>
      </c>
      <c r="K1971">
        <v>212.24</v>
      </c>
    </row>
    <row r="1972" spans="1:11" x14ac:dyDescent="0.3">
      <c r="A1972" s="1">
        <v>45255</v>
      </c>
      <c r="B1972" t="s">
        <v>23</v>
      </c>
      <c r="C1972" t="s">
        <v>29</v>
      </c>
      <c r="D1972" t="s">
        <v>28</v>
      </c>
      <c r="E1972" t="s">
        <v>14</v>
      </c>
      <c r="F1972" t="s">
        <v>22</v>
      </c>
      <c r="G1972">
        <v>126.37</v>
      </c>
      <c r="H1972">
        <v>15</v>
      </c>
      <c r="I1972">
        <v>631.66999999999996</v>
      </c>
      <c r="J1972">
        <v>2</v>
      </c>
      <c r="K1972">
        <v>466.55</v>
      </c>
    </row>
    <row r="1973" spans="1:11" x14ac:dyDescent="0.3">
      <c r="A1973" s="1">
        <v>45155</v>
      </c>
      <c r="B1973" t="s">
        <v>17</v>
      </c>
      <c r="C1973" t="s">
        <v>24</v>
      </c>
      <c r="D1973" t="s">
        <v>13</v>
      </c>
      <c r="E1973" t="s">
        <v>20</v>
      </c>
      <c r="F1973" t="s">
        <v>15</v>
      </c>
      <c r="G1973">
        <v>90.82</v>
      </c>
      <c r="H1973">
        <v>19</v>
      </c>
      <c r="I1973">
        <v>1775.8</v>
      </c>
      <c r="J1973">
        <v>3</v>
      </c>
      <c r="K1973">
        <v>1630.17</v>
      </c>
    </row>
    <row r="1974" spans="1:11" x14ac:dyDescent="0.3">
      <c r="A1974" s="1">
        <v>45115</v>
      </c>
      <c r="B1974" t="s">
        <v>17</v>
      </c>
      <c r="C1974" t="s">
        <v>29</v>
      </c>
      <c r="D1974" t="s">
        <v>19</v>
      </c>
      <c r="E1974" t="s">
        <v>14</v>
      </c>
      <c r="F1974" t="s">
        <v>22</v>
      </c>
      <c r="G1974">
        <v>119.53</v>
      </c>
      <c r="H1974">
        <v>7</v>
      </c>
      <c r="I1974">
        <v>580</v>
      </c>
      <c r="J1974">
        <v>0</v>
      </c>
      <c r="K1974">
        <v>460.47</v>
      </c>
    </row>
    <row r="1975" spans="1:11" x14ac:dyDescent="0.3">
      <c r="A1975" s="1">
        <v>45228</v>
      </c>
      <c r="B1975" t="s">
        <v>23</v>
      </c>
      <c r="C1975" t="s">
        <v>24</v>
      </c>
      <c r="D1975" t="s">
        <v>27</v>
      </c>
      <c r="E1975" t="s">
        <v>14</v>
      </c>
      <c r="F1975" t="s">
        <v>15</v>
      </c>
      <c r="G1975">
        <v>139.4</v>
      </c>
      <c r="H1975">
        <v>18</v>
      </c>
      <c r="I1975">
        <v>462.91</v>
      </c>
      <c r="J1975">
        <v>3</v>
      </c>
      <c r="K1975">
        <v>221.89</v>
      </c>
    </row>
    <row r="1976" spans="1:11" x14ac:dyDescent="0.3">
      <c r="A1976" s="1">
        <v>45085</v>
      </c>
      <c r="B1976" t="s">
        <v>17</v>
      </c>
      <c r="C1976" t="s">
        <v>24</v>
      </c>
      <c r="D1976" t="s">
        <v>13</v>
      </c>
      <c r="E1976" t="s">
        <v>20</v>
      </c>
      <c r="F1976" t="s">
        <v>26</v>
      </c>
      <c r="G1976">
        <v>171.42</v>
      </c>
      <c r="H1976">
        <v>3</v>
      </c>
      <c r="I1976">
        <v>43.83</v>
      </c>
      <c r="J1976">
        <v>3</v>
      </c>
      <c r="K1976">
        <v>-226.61</v>
      </c>
    </row>
    <row r="1977" spans="1:11" x14ac:dyDescent="0.3">
      <c r="A1977" s="1">
        <v>45018</v>
      </c>
      <c r="B1977" t="s">
        <v>11</v>
      </c>
      <c r="C1977" t="s">
        <v>24</v>
      </c>
      <c r="D1977" t="s">
        <v>28</v>
      </c>
      <c r="E1977" t="s">
        <v>20</v>
      </c>
      <c r="F1977" t="s">
        <v>22</v>
      </c>
      <c r="G1977">
        <v>142.9</v>
      </c>
      <c r="H1977">
        <v>7</v>
      </c>
      <c r="I1977">
        <v>210.7</v>
      </c>
      <c r="J1977">
        <v>2</v>
      </c>
      <c r="K1977">
        <v>30.14</v>
      </c>
    </row>
    <row r="1978" spans="1:11" x14ac:dyDescent="0.3">
      <c r="A1978" s="1">
        <v>45190</v>
      </c>
      <c r="B1978" t="s">
        <v>23</v>
      </c>
      <c r="C1978" t="s">
        <v>24</v>
      </c>
      <c r="D1978" t="s">
        <v>27</v>
      </c>
      <c r="E1978" t="s">
        <v>20</v>
      </c>
      <c r="F1978" t="s">
        <v>26</v>
      </c>
      <c r="G1978">
        <v>35.799999999999997</v>
      </c>
      <c r="H1978">
        <v>15</v>
      </c>
      <c r="I1978">
        <v>550.37</v>
      </c>
      <c r="J1978">
        <v>0</v>
      </c>
      <c r="K1978">
        <v>514.57000000000005</v>
      </c>
    </row>
    <row r="1979" spans="1:11" x14ac:dyDescent="0.3">
      <c r="A1979" s="1">
        <v>45282</v>
      </c>
      <c r="B1979" t="s">
        <v>21</v>
      </c>
      <c r="C1979" t="s">
        <v>24</v>
      </c>
      <c r="D1979" t="s">
        <v>19</v>
      </c>
      <c r="E1979" t="s">
        <v>20</v>
      </c>
      <c r="F1979" t="s">
        <v>26</v>
      </c>
      <c r="G1979">
        <v>142.6</v>
      </c>
      <c r="H1979">
        <v>8</v>
      </c>
      <c r="I1979">
        <v>268.04000000000002</v>
      </c>
      <c r="J1979">
        <v>1</v>
      </c>
      <c r="K1979">
        <v>83.73</v>
      </c>
    </row>
    <row r="1980" spans="1:11" x14ac:dyDescent="0.3">
      <c r="A1980" s="1">
        <v>45229</v>
      </c>
      <c r="B1980" t="s">
        <v>23</v>
      </c>
      <c r="C1980" t="s">
        <v>18</v>
      </c>
      <c r="D1980" t="s">
        <v>28</v>
      </c>
      <c r="E1980" t="s">
        <v>20</v>
      </c>
      <c r="F1980" t="s">
        <v>15</v>
      </c>
      <c r="G1980">
        <v>55.78</v>
      </c>
      <c r="H1980">
        <v>19</v>
      </c>
      <c r="I1980">
        <v>292.57</v>
      </c>
      <c r="J1980">
        <v>0</v>
      </c>
      <c r="K1980">
        <v>236.79</v>
      </c>
    </row>
    <row r="1981" spans="1:11" x14ac:dyDescent="0.3">
      <c r="A1981" s="1">
        <v>44984</v>
      </c>
      <c r="B1981" t="s">
        <v>21</v>
      </c>
      <c r="C1981" t="s">
        <v>18</v>
      </c>
      <c r="D1981" t="s">
        <v>25</v>
      </c>
      <c r="E1981" t="s">
        <v>20</v>
      </c>
      <c r="F1981" t="s">
        <v>16</v>
      </c>
      <c r="G1981">
        <v>188.95</v>
      </c>
      <c r="H1981">
        <v>19</v>
      </c>
      <c r="I1981">
        <v>750.08</v>
      </c>
      <c r="J1981">
        <v>0</v>
      </c>
      <c r="K1981">
        <v>561.13</v>
      </c>
    </row>
    <row r="1982" spans="1:11" x14ac:dyDescent="0.3">
      <c r="A1982" s="1">
        <v>44967</v>
      </c>
      <c r="B1982" t="s">
        <v>21</v>
      </c>
      <c r="C1982" t="s">
        <v>18</v>
      </c>
      <c r="D1982" t="s">
        <v>13</v>
      </c>
      <c r="E1982" t="s">
        <v>14</v>
      </c>
      <c r="F1982" t="s">
        <v>26</v>
      </c>
      <c r="G1982">
        <v>60.66</v>
      </c>
      <c r="H1982">
        <v>12</v>
      </c>
      <c r="I1982">
        <v>441.55</v>
      </c>
      <c r="J1982">
        <v>3</v>
      </c>
      <c r="K1982">
        <v>347.13</v>
      </c>
    </row>
    <row r="1983" spans="1:11" x14ac:dyDescent="0.3">
      <c r="A1983" s="1">
        <v>45289</v>
      </c>
      <c r="B1983" t="s">
        <v>21</v>
      </c>
      <c r="C1983" t="s">
        <v>24</v>
      </c>
      <c r="D1983" t="s">
        <v>25</v>
      </c>
      <c r="E1983" t="s">
        <v>14</v>
      </c>
      <c r="F1983" t="s">
        <v>26</v>
      </c>
      <c r="G1983">
        <v>139.5</v>
      </c>
      <c r="H1983">
        <v>6</v>
      </c>
      <c r="I1983">
        <v>165.47</v>
      </c>
      <c r="J1983">
        <v>1</v>
      </c>
      <c r="K1983">
        <v>-18.059999999999999</v>
      </c>
    </row>
    <row r="1984" spans="1:11" x14ac:dyDescent="0.3">
      <c r="A1984" s="1">
        <v>44968</v>
      </c>
      <c r="B1984" t="s">
        <v>21</v>
      </c>
      <c r="C1984" t="s">
        <v>18</v>
      </c>
      <c r="D1984" t="s">
        <v>27</v>
      </c>
      <c r="E1984" t="s">
        <v>14</v>
      </c>
      <c r="F1984" t="s">
        <v>26</v>
      </c>
      <c r="G1984">
        <v>186.04</v>
      </c>
      <c r="H1984">
        <v>4</v>
      </c>
      <c r="I1984">
        <v>348.96</v>
      </c>
      <c r="J1984">
        <v>0</v>
      </c>
      <c r="K1984">
        <v>162.91999999999999</v>
      </c>
    </row>
    <row r="1985" spans="1:11" x14ac:dyDescent="0.3">
      <c r="A1985" s="1">
        <v>44949</v>
      </c>
      <c r="B1985" t="s">
        <v>21</v>
      </c>
      <c r="C1985" t="s">
        <v>12</v>
      </c>
      <c r="D1985" t="s">
        <v>28</v>
      </c>
      <c r="E1985" t="s">
        <v>14</v>
      </c>
      <c r="F1985" t="s">
        <v>16</v>
      </c>
      <c r="G1985">
        <v>120.92</v>
      </c>
      <c r="H1985">
        <v>16</v>
      </c>
      <c r="I1985">
        <v>1543.51</v>
      </c>
      <c r="J1985">
        <v>2</v>
      </c>
      <c r="K1985">
        <v>1323.69</v>
      </c>
    </row>
    <row r="1986" spans="1:11" x14ac:dyDescent="0.3">
      <c r="A1986" s="1">
        <v>45028</v>
      </c>
      <c r="B1986" t="s">
        <v>11</v>
      </c>
      <c r="C1986" t="s">
        <v>29</v>
      </c>
      <c r="D1986" t="s">
        <v>13</v>
      </c>
      <c r="E1986" t="s">
        <v>20</v>
      </c>
      <c r="F1986" t="s">
        <v>16</v>
      </c>
      <c r="G1986">
        <v>106.4</v>
      </c>
      <c r="H1986">
        <v>7</v>
      </c>
      <c r="I1986">
        <v>246.8</v>
      </c>
      <c r="J1986">
        <v>0</v>
      </c>
      <c r="K1986">
        <v>140.4</v>
      </c>
    </row>
    <row r="1987" spans="1:11" x14ac:dyDescent="0.3">
      <c r="A1987" s="1">
        <v>44959</v>
      </c>
      <c r="B1987" t="s">
        <v>21</v>
      </c>
      <c r="C1987" t="s">
        <v>29</v>
      </c>
      <c r="D1987" t="s">
        <v>28</v>
      </c>
      <c r="E1987" t="s">
        <v>14</v>
      </c>
      <c r="F1987" t="s">
        <v>22</v>
      </c>
      <c r="G1987">
        <v>132.08000000000001</v>
      </c>
      <c r="H1987">
        <v>10</v>
      </c>
      <c r="I1987">
        <v>874.15</v>
      </c>
      <c r="J1987">
        <v>2</v>
      </c>
      <c r="K1987">
        <v>674.56</v>
      </c>
    </row>
    <row r="1988" spans="1:11" x14ac:dyDescent="0.3">
      <c r="A1988" s="1">
        <v>45223</v>
      </c>
      <c r="B1988" t="s">
        <v>23</v>
      </c>
      <c r="C1988" t="s">
        <v>24</v>
      </c>
      <c r="D1988" t="s">
        <v>27</v>
      </c>
      <c r="E1988" t="s">
        <v>20</v>
      </c>
      <c r="F1988" t="s">
        <v>22</v>
      </c>
      <c r="G1988">
        <v>129.57</v>
      </c>
      <c r="H1988">
        <v>15</v>
      </c>
      <c r="I1988">
        <v>1348.89</v>
      </c>
      <c r="J1988">
        <v>3</v>
      </c>
      <c r="K1988">
        <v>1140.72</v>
      </c>
    </row>
    <row r="1989" spans="1:11" x14ac:dyDescent="0.3">
      <c r="A1989" s="1">
        <v>45220</v>
      </c>
      <c r="B1989" t="s">
        <v>23</v>
      </c>
      <c r="C1989" t="s">
        <v>18</v>
      </c>
      <c r="D1989" t="s">
        <v>27</v>
      </c>
      <c r="E1989" t="s">
        <v>14</v>
      </c>
      <c r="F1989" t="s">
        <v>22</v>
      </c>
      <c r="G1989">
        <v>56.6</v>
      </c>
      <c r="H1989">
        <v>18</v>
      </c>
      <c r="I1989">
        <v>1345.3</v>
      </c>
      <c r="J1989">
        <v>1</v>
      </c>
      <c r="K1989">
        <v>1275.6300000000001</v>
      </c>
    </row>
    <row r="1990" spans="1:11" x14ac:dyDescent="0.3">
      <c r="A1990" s="1">
        <v>45171</v>
      </c>
      <c r="B1990" t="s">
        <v>23</v>
      </c>
      <c r="C1990" t="s">
        <v>18</v>
      </c>
      <c r="D1990" t="s">
        <v>27</v>
      </c>
      <c r="E1990" t="s">
        <v>20</v>
      </c>
      <c r="F1990" t="s">
        <v>22</v>
      </c>
      <c r="G1990">
        <v>88.82</v>
      </c>
      <c r="H1990">
        <v>18</v>
      </c>
      <c r="I1990">
        <v>1060.6300000000001</v>
      </c>
      <c r="J1990">
        <v>0</v>
      </c>
      <c r="K1990">
        <v>971.81</v>
      </c>
    </row>
    <row r="1991" spans="1:11" x14ac:dyDescent="0.3">
      <c r="A1991" s="1">
        <v>45165</v>
      </c>
      <c r="B1991" t="s">
        <v>17</v>
      </c>
      <c r="C1991" t="s">
        <v>12</v>
      </c>
      <c r="D1991" t="s">
        <v>25</v>
      </c>
      <c r="E1991" t="s">
        <v>14</v>
      </c>
      <c r="F1991" t="s">
        <v>22</v>
      </c>
      <c r="G1991">
        <v>145.38</v>
      </c>
      <c r="H1991">
        <v>16</v>
      </c>
      <c r="I1991">
        <v>1465.22</v>
      </c>
      <c r="J1991">
        <v>0</v>
      </c>
      <c r="K1991">
        <v>1319.84</v>
      </c>
    </row>
    <row r="1992" spans="1:11" x14ac:dyDescent="0.3">
      <c r="A1992" s="1">
        <v>45005</v>
      </c>
      <c r="B1992" t="s">
        <v>11</v>
      </c>
      <c r="C1992" t="s">
        <v>29</v>
      </c>
      <c r="D1992" t="s">
        <v>27</v>
      </c>
      <c r="E1992" t="s">
        <v>14</v>
      </c>
      <c r="F1992" t="s">
        <v>15</v>
      </c>
      <c r="G1992">
        <v>43.15</v>
      </c>
      <c r="H1992">
        <v>7</v>
      </c>
      <c r="I1992">
        <v>297.35000000000002</v>
      </c>
      <c r="J1992">
        <v>3</v>
      </c>
      <c r="K1992">
        <v>185.96</v>
      </c>
    </row>
    <row r="1993" spans="1:11" x14ac:dyDescent="0.3">
      <c r="A1993" s="1">
        <v>45188</v>
      </c>
      <c r="B1993" t="s">
        <v>23</v>
      </c>
      <c r="C1993" t="s">
        <v>12</v>
      </c>
      <c r="D1993" t="s">
        <v>19</v>
      </c>
      <c r="E1993" t="s">
        <v>20</v>
      </c>
      <c r="F1993" t="s">
        <v>15</v>
      </c>
      <c r="G1993">
        <v>68.150000000000006</v>
      </c>
      <c r="H1993">
        <v>7</v>
      </c>
      <c r="I1993">
        <v>315.22000000000003</v>
      </c>
      <c r="J1993">
        <v>1</v>
      </c>
      <c r="K1993">
        <v>205.99</v>
      </c>
    </row>
    <row r="1994" spans="1:11" x14ac:dyDescent="0.3">
      <c r="A1994" s="1">
        <v>45179</v>
      </c>
      <c r="B1994" t="s">
        <v>23</v>
      </c>
      <c r="C1994" t="s">
        <v>18</v>
      </c>
      <c r="D1994" t="s">
        <v>19</v>
      </c>
      <c r="E1994" t="s">
        <v>20</v>
      </c>
      <c r="F1994" t="s">
        <v>16</v>
      </c>
      <c r="G1994">
        <v>84.18</v>
      </c>
      <c r="H1994">
        <v>2</v>
      </c>
      <c r="I1994">
        <v>104.61</v>
      </c>
      <c r="J1994">
        <v>1</v>
      </c>
      <c r="K1994">
        <v>-9.5299999999999994</v>
      </c>
    </row>
    <row r="1995" spans="1:11" x14ac:dyDescent="0.3">
      <c r="A1995" s="1">
        <v>45087</v>
      </c>
      <c r="B1995" t="s">
        <v>17</v>
      </c>
      <c r="C1995" t="s">
        <v>18</v>
      </c>
      <c r="D1995" t="s">
        <v>27</v>
      </c>
      <c r="E1995" t="s">
        <v>20</v>
      </c>
      <c r="F1995" t="s">
        <v>16</v>
      </c>
      <c r="G1995">
        <v>199.91</v>
      </c>
      <c r="H1995">
        <v>2</v>
      </c>
      <c r="I1995">
        <v>173.78</v>
      </c>
      <c r="J1995">
        <v>1</v>
      </c>
      <c r="K1995">
        <v>-58.3</v>
      </c>
    </row>
    <row r="1996" spans="1:11" x14ac:dyDescent="0.3">
      <c r="A1996" s="1">
        <v>45030</v>
      </c>
      <c r="B1996" t="s">
        <v>11</v>
      </c>
      <c r="C1996" t="s">
        <v>12</v>
      </c>
      <c r="D1996" t="s">
        <v>13</v>
      </c>
      <c r="E1996" t="s">
        <v>20</v>
      </c>
      <c r="F1996" t="s">
        <v>22</v>
      </c>
      <c r="G1996">
        <v>87.88</v>
      </c>
      <c r="H1996">
        <v>3</v>
      </c>
      <c r="I1996">
        <v>75.25</v>
      </c>
      <c r="J1996">
        <v>3</v>
      </c>
      <c r="K1996">
        <v>-98.36</v>
      </c>
    </row>
    <row r="1997" spans="1:11" x14ac:dyDescent="0.3">
      <c r="A1997" s="1">
        <v>45204</v>
      </c>
      <c r="B1997" t="s">
        <v>23</v>
      </c>
      <c r="C1997" t="s">
        <v>12</v>
      </c>
      <c r="D1997" t="s">
        <v>25</v>
      </c>
      <c r="E1997" t="s">
        <v>20</v>
      </c>
      <c r="F1997" t="s">
        <v>15</v>
      </c>
      <c r="G1997">
        <v>14.36</v>
      </c>
      <c r="H1997">
        <v>15</v>
      </c>
      <c r="I1997">
        <v>1064.3599999999999</v>
      </c>
      <c r="J1997">
        <v>1</v>
      </c>
      <c r="K1997">
        <v>1026.27</v>
      </c>
    </row>
    <row r="1998" spans="1:11" x14ac:dyDescent="0.3">
      <c r="A1998" s="1">
        <v>45182</v>
      </c>
      <c r="B1998" t="s">
        <v>23</v>
      </c>
      <c r="C1998" t="s">
        <v>12</v>
      </c>
      <c r="D1998" t="s">
        <v>19</v>
      </c>
      <c r="E1998" t="s">
        <v>14</v>
      </c>
      <c r="F1998" t="s">
        <v>22</v>
      </c>
      <c r="G1998">
        <v>147.97</v>
      </c>
      <c r="H1998">
        <v>7</v>
      </c>
      <c r="I1998">
        <v>548.91</v>
      </c>
      <c r="J1998">
        <v>0</v>
      </c>
      <c r="K1998">
        <v>400.94</v>
      </c>
    </row>
    <row r="1999" spans="1:11" x14ac:dyDescent="0.3">
      <c r="A1999" s="1">
        <v>45246</v>
      </c>
      <c r="B1999" t="s">
        <v>23</v>
      </c>
      <c r="C1999" t="s">
        <v>29</v>
      </c>
      <c r="D1999" t="s">
        <v>13</v>
      </c>
      <c r="E1999" t="s">
        <v>14</v>
      </c>
      <c r="F1999" t="s">
        <v>26</v>
      </c>
      <c r="G1999">
        <v>40.92</v>
      </c>
      <c r="H1999">
        <v>8</v>
      </c>
      <c r="I1999">
        <v>428.09</v>
      </c>
      <c r="J1999">
        <v>2</v>
      </c>
      <c r="K1999">
        <v>351.87</v>
      </c>
    </row>
    <row r="2000" spans="1:11" x14ac:dyDescent="0.3">
      <c r="A2000" s="1">
        <v>45055</v>
      </c>
      <c r="B2000" t="s">
        <v>11</v>
      </c>
      <c r="C2000" t="s">
        <v>12</v>
      </c>
      <c r="D2000" t="s">
        <v>13</v>
      </c>
      <c r="E2000" t="s">
        <v>20</v>
      </c>
      <c r="F2000" t="s">
        <v>16</v>
      </c>
      <c r="G2000">
        <v>164.03</v>
      </c>
      <c r="H2000">
        <v>6</v>
      </c>
      <c r="I2000">
        <v>288.01</v>
      </c>
      <c r="J2000">
        <v>3</v>
      </c>
      <c r="K2000">
        <v>80.8</v>
      </c>
    </row>
    <row r="2001" spans="1:11" x14ac:dyDescent="0.3">
      <c r="A2001" s="1">
        <v>45179</v>
      </c>
      <c r="B2001" t="s">
        <v>23</v>
      </c>
      <c r="C2001" t="s">
        <v>29</v>
      </c>
      <c r="D2001" t="s">
        <v>19</v>
      </c>
      <c r="E2001" t="s">
        <v>14</v>
      </c>
      <c r="F2001" t="s">
        <v>22</v>
      </c>
      <c r="G2001">
        <v>82.06</v>
      </c>
      <c r="H2001">
        <v>8</v>
      </c>
      <c r="I2001">
        <v>573.09</v>
      </c>
      <c r="J2001">
        <v>2</v>
      </c>
      <c r="K2001">
        <v>459.84</v>
      </c>
    </row>
  </sheetData>
  <conditionalFormatting sqref="O4">
    <cfRule type="colorScale" priority="1">
      <colorScale>
        <cfvo type="min"/>
        <cfvo type="percentile" val="50"/>
        <cfvo type="max"/>
        <color rgb="FFF8696B"/>
        <color rgb="FFFCFCFF"/>
        <color rgb="FF63BE7B"/>
      </colorScale>
    </cfRule>
  </conditionalFormatting>
  <conditionalFormatting sqref="O8">
    <cfRule type="dataBar" priority="3">
      <dataBar>
        <cfvo type="min"/>
        <cfvo type="max"/>
        <color rgb="FF638EC6"/>
      </dataBar>
      <extLst>
        <ext xmlns:x14="http://schemas.microsoft.com/office/spreadsheetml/2009/9/main" uri="{B025F937-C7B1-47D3-B67F-A62EFF666E3E}">
          <x14:id>{BB8F4641-42A1-4C3D-AB74-833A7C5757A1}</x14:id>
        </ext>
      </extLst>
    </cfRule>
  </conditionalFormatting>
  <conditionalFormatting sqref="O13">
    <cfRule type="colorScale" priority="6">
      <colorScale>
        <cfvo type="min"/>
        <cfvo type="percentile" val="50"/>
        <cfvo type="max"/>
        <color rgb="FFF8696B"/>
        <color rgb="FFFCFCFF"/>
        <color rgb="FF63BE7B"/>
      </colorScale>
    </cfRule>
  </conditionalFormatting>
  <conditionalFormatting sqref="O18">
    <cfRule type="dataBar" priority="5">
      <dataBar>
        <cfvo type="min"/>
        <cfvo type="max"/>
        <color rgb="FF638EC6"/>
      </dataBar>
      <extLst>
        <ext xmlns:x14="http://schemas.microsoft.com/office/spreadsheetml/2009/9/main" uri="{B025F937-C7B1-47D3-B67F-A62EFF666E3E}">
          <x14:id>{DFBECD7A-AE21-4FEE-9C9F-E2308764762B}</x14:id>
        </ext>
      </extLst>
    </cfRule>
  </conditionalFormatting>
  <conditionalFormatting sqref="Q4">
    <cfRule type="dataBar" priority="2">
      <dataBar>
        <cfvo type="min"/>
        <cfvo type="max"/>
        <color rgb="FF638EC6"/>
      </dataBar>
      <extLst>
        <ext xmlns:x14="http://schemas.microsoft.com/office/spreadsheetml/2009/9/main" uri="{B025F937-C7B1-47D3-B67F-A62EFF666E3E}">
          <x14:id>{32EAD2FA-850C-4BA2-86DF-11135CC8277F}</x14:id>
        </ext>
      </extLst>
    </cfRule>
  </conditionalFormatting>
  <conditionalFormatting sqref="Q13">
    <cfRule type="dataBar" priority="4">
      <dataBar>
        <cfvo type="min"/>
        <cfvo type="max"/>
        <color rgb="FF638EC6"/>
      </dataBar>
      <extLst>
        <ext xmlns:x14="http://schemas.microsoft.com/office/spreadsheetml/2009/9/main" uri="{B025F937-C7B1-47D3-B67F-A62EFF666E3E}">
          <x14:id>{3452929C-AC8D-4D80-A329-8E74B409FEE3}</x14:id>
        </ext>
      </extLst>
    </cfRule>
  </conditionalFormatting>
  <pageMargins left="0.7" right="0.7" top="0.75" bottom="0.75" header="0.3" footer="0.3"/>
  <drawing r:id="rId7"/>
  <tableParts count="2">
    <tablePart r:id="rId8"/>
    <tablePart r:id="rId9"/>
  </tableParts>
  <extLst>
    <ext xmlns:x14="http://schemas.microsoft.com/office/spreadsheetml/2009/9/main" uri="{78C0D931-6437-407d-A8EE-F0AAD7539E65}">
      <x14:conditionalFormattings>
        <x14:conditionalFormatting xmlns:xm="http://schemas.microsoft.com/office/excel/2006/main">
          <x14:cfRule type="dataBar" id="{BB8F4641-42A1-4C3D-AB74-833A7C5757A1}">
            <x14:dataBar minLength="0" maxLength="100" gradient="0">
              <x14:cfvo type="autoMin"/>
              <x14:cfvo type="autoMax"/>
              <x14:negativeFillColor rgb="FFFF0000"/>
              <x14:axisColor rgb="FF000000"/>
            </x14:dataBar>
          </x14:cfRule>
          <xm:sqref>O8</xm:sqref>
        </x14:conditionalFormatting>
        <x14:conditionalFormatting xmlns:xm="http://schemas.microsoft.com/office/excel/2006/main">
          <x14:cfRule type="dataBar" id="{DFBECD7A-AE21-4FEE-9C9F-E2308764762B}">
            <x14:dataBar minLength="0" maxLength="100" gradient="0">
              <x14:cfvo type="autoMin"/>
              <x14:cfvo type="autoMax"/>
              <x14:negativeFillColor rgb="FFFF0000"/>
              <x14:axisColor rgb="FF000000"/>
            </x14:dataBar>
          </x14:cfRule>
          <xm:sqref>O18</xm:sqref>
        </x14:conditionalFormatting>
        <x14:conditionalFormatting xmlns:xm="http://schemas.microsoft.com/office/excel/2006/main">
          <x14:cfRule type="dataBar" id="{32EAD2FA-850C-4BA2-86DF-11135CC8277F}">
            <x14:dataBar minLength="0" maxLength="100" gradient="0">
              <x14:cfvo type="autoMin"/>
              <x14:cfvo type="autoMax"/>
              <x14:negativeFillColor rgb="FFFF0000"/>
              <x14:axisColor rgb="FF000000"/>
            </x14:dataBar>
          </x14:cfRule>
          <xm:sqref>Q4</xm:sqref>
        </x14:conditionalFormatting>
        <x14:conditionalFormatting xmlns:xm="http://schemas.microsoft.com/office/excel/2006/main">
          <x14:cfRule type="dataBar" id="{3452929C-AC8D-4D80-A329-8E74B409FEE3}">
            <x14:dataBar minLength="0" maxLength="100" gradient="0">
              <x14:cfvo type="autoMin"/>
              <x14:cfvo type="autoMax"/>
              <x14:negativeFillColor rgb="FFFF0000"/>
              <x14:axisColor rgb="FF000000"/>
            </x14:dataBar>
          </x14:cfRule>
          <xm:sqref>Q13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ED15F-3364-4C6F-9A04-96C2AD05B2BB}">
  <dimension ref="A1"/>
  <sheetViews>
    <sheetView showGridLines="0" tabSelected="1" zoomScale="65" workbookViewId="0">
      <selection activeCell="V82" sqref="V82"/>
    </sheetView>
  </sheetViews>
  <sheetFormatPr defaultRowHeight="14.4" x14ac:dyDescent="0.3"/>
  <cols>
    <col min="1" max="16384" width="8.88671875" style="5"/>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
</file>

<file path=customXml/item2.xml>��
</file>

<file path=customXml/item3.xml>��
</file>

<file path=customXml/item4.xml>��
</file>

<file path=customXml/item5.xml>��
</file>

<file path=customXml/item6.xml>��
</file>

<file path=customXml/itemProps1.xml><?xml version="1.0" encoding="utf-8"?>
<ds:datastoreItem xmlns:ds="http://schemas.openxmlformats.org/officeDocument/2006/customXml" ds:itemID="{F6802230-C637-4E89-A1FF-F1FFA39A45EC}">
  <ds:schemaRefs>
    <ds:schemaRef ds:uri="http://schemas.microsoft.com/DataMashup"/>
  </ds:schemaRefs>
</ds:datastoreItem>
</file>

<file path=customXml/itemProps2.xml><?xml version="1.0" encoding="utf-8"?>
<ds:datastoreItem xmlns:ds="http://schemas.openxmlformats.org/officeDocument/2006/customXml" ds:itemID="{197ABD02-73F7-477A-B563-AFA877A200CE}">
  <ds:schemaRefs/>
</ds:datastoreItem>
</file>

<file path=customXml/itemProps3.xml><?xml version="1.0" encoding="utf-8"?>
<ds:datastoreItem xmlns:ds="http://schemas.openxmlformats.org/officeDocument/2006/customXml" ds:itemID="{69E0E3E6-2E4F-4F9B-8157-4C8740569B6E}">
  <ds:schemaRefs/>
</ds:datastoreItem>
</file>

<file path=customXml/itemProps4.xml><?xml version="1.0" encoding="utf-8"?>
<ds:datastoreItem xmlns:ds="http://schemas.openxmlformats.org/officeDocument/2006/customXml" ds:itemID="{0921B0CB-27B2-4A39-BB5C-FC12AB19DF87}">
  <ds:schemaRefs/>
</ds:datastoreItem>
</file>

<file path=customXml/itemProps5.xml><?xml version="1.0" encoding="utf-8"?>
<ds:datastoreItem xmlns:ds="http://schemas.openxmlformats.org/officeDocument/2006/customXml" ds:itemID="{4FE449AE-7187-4D07-BFE4-33F827BB7CB3}">
  <ds:schemaRefs/>
</ds:datastoreItem>
</file>

<file path=customXml/itemProps6.xml><?xml version="1.0" encoding="utf-8"?>
<ds:datastoreItem xmlns:ds="http://schemas.openxmlformats.org/officeDocument/2006/customXml" ds:itemID="{CBD34720-D8EE-43D6-B3FC-84E17098487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 1</vt:lpstr>
      <vt:lpstr>DASH1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Ahmed Hamdy Helwa</dc:creator>
  <cp:lastModifiedBy>Ahmed Hamdy Helwa</cp:lastModifiedBy>
  <dcterms:created xsi:type="dcterms:W3CDTF">2025-12-26T17:48:57Z</dcterms:created>
  <dcterms:modified xsi:type="dcterms:W3CDTF">2025-12-26T22:52:23Z</dcterms:modified>
</cp:coreProperties>
</file>